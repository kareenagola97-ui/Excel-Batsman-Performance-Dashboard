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60" yWindow="315" windowWidth="23655" windowHeight="9705" activeTab="2"/>
  </bookViews>
  <sheets>
    <sheet name="Raw_Data" sheetId="1" r:id="rId1"/>
    <sheet name="Formula_Analysis" sheetId="9" r:id="rId2"/>
    <sheet name="Pivot_TABLE" sheetId="2" r:id="rId3"/>
    <sheet name="Dashboard" sheetId="7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B20" i="9"/>
  <c r="B19"/>
  <c r="B18"/>
  <c r="B14"/>
  <c r="B13"/>
  <c r="B12"/>
  <c r="B8"/>
  <c r="B7"/>
  <c r="B6"/>
  <c r="B5"/>
  <c r="B4"/>
</calcChain>
</file>

<file path=xl/sharedStrings.xml><?xml version="1.0" encoding="utf-8"?>
<sst xmlns="http://schemas.openxmlformats.org/spreadsheetml/2006/main" count="623" uniqueCount="556">
  <si>
    <t>out</t>
  </si>
  <si>
    <t>V Kohli</t>
  </si>
  <si>
    <t>SK Raina</t>
  </si>
  <si>
    <t>RG Sharma</t>
  </si>
  <si>
    <t>DA Warner</t>
  </si>
  <si>
    <t>S Dhawan</t>
  </si>
  <si>
    <t>CH Gayle</t>
  </si>
  <si>
    <t>MS Dhoni</t>
  </si>
  <si>
    <t>RV Uthappa</t>
  </si>
  <si>
    <t>AB de Villiers</t>
  </si>
  <si>
    <t>G Gambhir</t>
  </si>
  <si>
    <t>AM Rahane</t>
  </si>
  <si>
    <t>KD Karthik</t>
  </si>
  <si>
    <t>SR Watson</t>
  </si>
  <si>
    <t>AT Rayudu</t>
  </si>
  <si>
    <t>YK Pathan</t>
  </si>
  <si>
    <t>BB McCullum</t>
  </si>
  <si>
    <t>PA Patel</t>
  </si>
  <si>
    <t>MK Pandey</t>
  </si>
  <si>
    <t>KA Pollard</t>
  </si>
  <si>
    <t>Yuvraj Singh</t>
  </si>
  <si>
    <t>V Sehwag</t>
  </si>
  <si>
    <t>M Vijay</t>
  </si>
  <si>
    <t>SE Marsh</t>
  </si>
  <si>
    <t>JH Kallis</t>
  </si>
  <si>
    <t>DR Smith</t>
  </si>
  <si>
    <t>SR Tendulkar</t>
  </si>
  <si>
    <t>SV Samson</t>
  </si>
  <si>
    <t>R Dravid</t>
  </si>
  <si>
    <t>AC Gilchrist</t>
  </si>
  <si>
    <t>SPD Smith</t>
  </si>
  <si>
    <t>JP Duminy</t>
  </si>
  <si>
    <t>KL Rahul</t>
  </si>
  <si>
    <t>MEK Hussey</t>
  </si>
  <si>
    <t>RA Jadeja</t>
  </si>
  <si>
    <t>F du Plessis</t>
  </si>
  <si>
    <t>DA Miller</t>
  </si>
  <si>
    <t>DPMD Jayawardene</t>
  </si>
  <si>
    <t>WP Saha</t>
  </si>
  <si>
    <t>RR Pant</t>
  </si>
  <si>
    <t>AJ Finch</t>
  </si>
  <si>
    <t>MK Tiwary</t>
  </si>
  <si>
    <t>SS Iyer</t>
  </si>
  <si>
    <t>KC Sangakkara</t>
  </si>
  <si>
    <t>NV Ojha</t>
  </si>
  <si>
    <t>Mandeep Singh</t>
  </si>
  <si>
    <t>DJ Bravo</t>
  </si>
  <si>
    <t>Q de Kock</t>
  </si>
  <si>
    <t>KK Nair</t>
  </si>
  <si>
    <t>S Badrinath</t>
  </si>
  <si>
    <t>AD Russell</t>
  </si>
  <si>
    <t>GJ Maxwell</t>
  </si>
  <si>
    <t>BJ Hodge</t>
  </si>
  <si>
    <t>JC Buttler</t>
  </si>
  <si>
    <t>SC Ganguly</t>
  </si>
  <si>
    <t>DJ Hussey</t>
  </si>
  <si>
    <t>KS Williamson</t>
  </si>
  <si>
    <t>CA Lynn</t>
  </si>
  <si>
    <t>SS Tiwary</t>
  </si>
  <si>
    <t>MA Agarwal</t>
  </si>
  <si>
    <t>TM Dilshan</t>
  </si>
  <si>
    <t>IK Pathan</t>
  </si>
  <si>
    <t>ML Hayden</t>
  </si>
  <si>
    <t>N Rana</t>
  </si>
  <si>
    <t>KM Jadhav</t>
  </si>
  <si>
    <t>HH Pandya</t>
  </si>
  <si>
    <t>LMP Simmons</t>
  </si>
  <si>
    <t>LRPL Taylor</t>
  </si>
  <si>
    <t>M Vohra</t>
  </si>
  <si>
    <t>KP Pietersen</t>
  </si>
  <si>
    <t>AS Yadav</t>
  </si>
  <si>
    <t>Y Venugopal Rao</t>
  </si>
  <si>
    <t>JA Morkel</t>
  </si>
  <si>
    <t>A Symonds</t>
  </si>
  <si>
    <t>CL White</t>
  </si>
  <si>
    <t>MC Henriques</t>
  </si>
  <si>
    <t>KH Pandya</t>
  </si>
  <si>
    <t>HH Gibbs</t>
  </si>
  <si>
    <t>STR Binny</t>
  </si>
  <si>
    <t>EJG Morgan</t>
  </si>
  <si>
    <t>Harbhajan Singh</t>
  </si>
  <si>
    <t>AR Patel</t>
  </si>
  <si>
    <t>MS Bisla</t>
  </si>
  <si>
    <t>SP Narine</t>
  </si>
  <si>
    <t>ST Jayasuriya</t>
  </si>
  <si>
    <t>RA Tripathi</t>
  </si>
  <si>
    <t>Shakib Al Hasan</t>
  </si>
  <si>
    <t>GC Smith</t>
  </si>
  <si>
    <t>AD Mathews</t>
  </si>
  <si>
    <t>Ishan Kishan</t>
  </si>
  <si>
    <t>TL Suman</t>
  </si>
  <si>
    <t>AM Nayar</t>
  </si>
  <si>
    <t>GJ Bailey</t>
  </si>
  <si>
    <t>BA Stokes</t>
  </si>
  <si>
    <t>SA Yadav</t>
  </si>
  <si>
    <t>JD Ryder</t>
  </si>
  <si>
    <t>P Shaw</t>
  </si>
  <si>
    <t>PP Chawla</t>
  </si>
  <si>
    <t>HM Amla</t>
  </si>
  <si>
    <t>V Shankar</t>
  </si>
  <si>
    <t>CJ Anderson</t>
  </si>
  <si>
    <t>RS Bopara</t>
  </si>
  <si>
    <t>JP Faulkner</t>
  </si>
  <si>
    <t>DJ Hooda</t>
  </si>
  <si>
    <t>CH Morris</t>
  </si>
  <si>
    <t>M Manhas</t>
  </si>
  <si>
    <t>S Gill</t>
  </si>
  <si>
    <t>OA Shah</t>
  </si>
  <si>
    <t>PC Valthaty</t>
  </si>
  <si>
    <t>MP Stoinis</t>
  </si>
  <si>
    <t>J Bairstow</t>
  </si>
  <si>
    <t>DT Christian</t>
  </si>
  <si>
    <t>Gurkeerat Singh</t>
  </si>
  <si>
    <t>E Lewis</t>
  </si>
  <si>
    <t>NLTC Perera</t>
  </si>
  <si>
    <t>SA Asnodkar</t>
  </si>
  <si>
    <t>JR Hopes</t>
  </si>
  <si>
    <t>SN Khan</t>
  </si>
  <si>
    <t>J Botha</t>
  </si>
  <si>
    <t>LR Shukla</t>
  </si>
  <si>
    <t>AL Menaria</t>
  </si>
  <si>
    <t>MV Boucher</t>
  </si>
  <si>
    <t>CA Pujara</t>
  </si>
  <si>
    <t>Azhar Mahmood</t>
  </si>
  <si>
    <t>R Ashwin</t>
  </si>
  <si>
    <t>DB Ravi Teja</t>
  </si>
  <si>
    <t>S Sohal</t>
  </si>
  <si>
    <t>A Mishra</t>
  </si>
  <si>
    <t>P Negi</t>
  </si>
  <si>
    <t>R Bhatia</t>
  </si>
  <si>
    <t>P Kumar</t>
  </si>
  <si>
    <t>AP Tare</t>
  </si>
  <si>
    <t>SW Billings</t>
  </si>
  <si>
    <t>JEC Franklin</t>
  </si>
  <si>
    <t>RN ten Doeschate</t>
  </si>
  <si>
    <t>KV Sharma</t>
  </si>
  <si>
    <t>R Vinay Kumar</t>
  </si>
  <si>
    <t>DB Das</t>
  </si>
  <si>
    <t>C de Grandhomme</t>
  </si>
  <si>
    <t>M Ali</t>
  </si>
  <si>
    <t>LA Pomersbach</t>
  </si>
  <si>
    <t>UBT Chand</t>
  </si>
  <si>
    <t>SP Goswami</t>
  </si>
  <si>
    <t>DJG Sammy</t>
  </si>
  <si>
    <t>Y Nagar</t>
  </si>
  <si>
    <t>VVS Laxman</t>
  </si>
  <si>
    <t>GH Vihari</t>
  </si>
  <si>
    <t>A Ashish Reddy</t>
  </si>
  <si>
    <t>B Chipli</t>
  </si>
  <si>
    <t>MJ Lumb</t>
  </si>
  <si>
    <t>MJ Guptill</t>
  </si>
  <si>
    <t>R Sathish</t>
  </si>
  <si>
    <t>M Kaif</t>
  </si>
  <si>
    <t>SM Katich</t>
  </si>
  <si>
    <t>BCJ Cutting</t>
  </si>
  <si>
    <t>MD Mishra</t>
  </si>
  <si>
    <t>MR Marsh</t>
  </si>
  <si>
    <t>K Goel</t>
  </si>
  <si>
    <t>AA Jhunjhunwala</t>
  </si>
  <si>
    <t>TM Head</t>
  </si>
  <si>
    <t>PD Collingwood</t>
  </si>
  <si>
    <t>SK Warne</t>
  </si>
  <si>
    <t>SP Fleming</t>
  </si>
  <si>
    <t>AS Raut</t>
  </si>
  <si>
    <t>BJ Rohrer</t>
  </si>
  <si>
    <t>Salman Butt</t>
  </si>
  <si>
    <t>YV Takawale</t>
  </si>
  <si>
    <t>Bipul Sharma</t>
  </si>
  <si>
    <t>C Ingram</t>
  </si>
  <si>
    <t>B Kumar</t>
  </si>
  <si>
    <t>FY Fazal</t>
  </si>
  <si>
    <t>JJ Roy</t>
  </si>
  <si>
    <t>CR Brathwaite</t>
  </si>
  <si>
    <t>AC Voges</t>
  </si>
  <si>
    <t>AB Agarkar</t>
  </si>
  <si>
    <t>C Munro</t>
  </si>
  <si>
    <t>MF Maharoof</t>
  </si>
  <si>
    <t>DH Yagnik</t>
  </si>
  <si>
    <t>N Pooran</t>
  </si>
  <si>
    <t>CM Gautam</t>
  </si>
  <si>
    <t>MG Johnson</t>
  </si>
  <si>
    <t>MN van Wyk</t>
  </si>
  <si>
    <t>DW Steyn</t>
  </si>
  <si>
    <t>PA Reddy</t>
  </si>
  <si>
    <t>R Parag</t>
  </si>
  <si>
    <t>MN Samuels</t>
  </si>
  <si>
    <t>Ankit Sharma</t>
  </si>
  <si>
    <t>RE van der Merwe</t>
  </si>
  <si>
    <t>R McLaren</t>
  </si>
  <si>
    <t>R Dhawan</t>
  </si>
  <si>
    <t>A Hales</t>
  </si>
  <si>
    <t>SM Pollock</t>
  </si>
  <si>
    <t>S Vidyut</t>
  </si>
  <si>
    <t>K Gowtham</t>
  </si>
  <si>
    <t>Mohammad Nabi</t>
  </si>
  <si>
    <t>N Saini</t>
  </si>
  <si>
    <t>Sachin Baby</t>
  </si>
  <si>
    <t>S Anirudha</t>
  </si>
  <si>
    <t>SB Styris</t>
  </si>
  <si>
    <t>W Jaffer</t>
  </si>
  <si>
    <t>S Gopal</t>
  </si>
  <si>
    <t>Kamran Akmal</t>
  </si>
  <si>
    <t>D Wiese</t>
  </si>
  <si>
    <t>P Dogra</t>
  </si>
  <si>
    <t>UT Khawaja</t>
  </si>
  <si>
    <t>M Morkel</t>
  </si>
  <si>
    <t>MC Juneja</t>
  </si>
  <si>
    <t>BB Samantray</t>
  </si>
  <si>
    <t>B Lee</t>
  </si>
  <si>
    <t>MM Sharma</t>
  </si>
  <si>
    <t>AB McDonald</t>
  </si>
  <si>
    <t>UT Yadav</t>
  </si>
  <si>
    <t>Niraj Patel</t>
  </si>
  <si>
    <t>DL Vettori</t>
  </si>
  <si>
    <t>AC Blizzard</t>
  </si>
  <si>
    <t>RJ Harris</t>
  </si>
  <si>
    <t>Misbah-ul-Haq</t>
  </si>
  <si>
    <t>Z Khan</t>
  </si>
  <si>
    <t>D Short</t>
  </si>
  <si>
    <t>KK Cooper</t>
  </si>
  <si>
    <t>TG Southee</t>
  </si>
  <si>
    <t>R Tewatia</t>
  </si>
  <si>
    <t>M Kartik</t>
  </si>
  <si>
    <t>DJ Harris</t>
  </si>
  <si>
    <t>HV Patel</t>
  </si>
  <si>
    <t>JDP Oram</t>
  </si>
  <si>
    <t>LJ Wright</t>
  </si>
  <si>
    <t>Rashid Khan</t>
  </si>
  <si>
    <t>RJ Quiney</t>
  </si>
  <si>
    <t>DS Kulkarni</t>
  </si>
  <si>
    <t>MS Gony</t>
  </si>
  <si>
    <t>SD Chitnis</t>
  </si>
  <si>
    <t>MJ Clarke</t>
  </si>
  <si>
    <t>CJ Ferguson</t>
  </si>
  <si>
    <t>MA Starc</t>
  </si>
  <si>
    <t>S Curran</t>
  </si>
  <si>
    <t>AJ Tye</t>
  </si>
  <si>
    <t>PR Shah</t>
  </si>
  <si>
    <t>DJ Jacobs</t>
  </si>
  <si>
    <t>S Rana</t>
  </si>
  <si>
    <t>RT Ponting</t>
  </si>
  <si>
    <t>AD Nath</t>
  </si>
  <si>
    <t>S Hetmyer</t>
  </si>
  <si>
    <t>MJ McClenaghan</t>
  </si>
  <si>
    <t>Iqbal Abdulla</t>
  </si>
  <si>
    <t>SL Malinga</t>
  </si>
  <si>
    <t>AP Majumdar</t>
  </si>
  <si>
    <t>J Archer</t>
  </si>
  <si>
    <t>RE Levi</t>
  </si>
  <si>
    <t>LA Carseldine</t>
  </si>
  <si>
    <t>WPUJC Vaas</t>
  </si>
  <si>
    <t>Shahid Afridi</t>
  </si>
  <si>
    <t>AD Mascarenhas</t>
  </si>
  <si>
    <t>PJ Cummins</t>
  </si>
  <si>
    <t>S Rutherford</t>
  </si>
  <si>
    <t>B Akhil</t>
  </si>
  <si>
    <t>IR Jaggi</t>
  </si>
  <si>
    <t>TR Birt</t>
  </si>
  <si>
    <t>Washington Sundar</t>
  </si>
  <si>
    <t>M Klinger</t>
  </si>
  <si>
    <t>RR Sarwan</t>
  </si>
  <si>
    <t>L Livingstone</t>
  </si>
  <si>
    <t>DL Chahar</t>
  </si>
  <si>
    <t>K Rabada</t>
  </si>
  <si>
    <t>AA Bilakhia</t>
  </si>
  <si>
    <t>H Klaasen</t>
  </si>
  <si>
    <t>RR Powar</t>
  </si>
  <si>
    <t>R Singh</t>
  </si>
  <si>
    <t>R Sharma</t>
  </si>
  <si>
    <t>Mohammad Hafeez</t>
  </si>
  <si>
    <t>CR Woakes</t>
  </si>
  <si>
    <t>WD Parnell</t>
  </si>
  <si>
    <t>Anirudh Singh</t>
  </si>
  <si>
    <t>A Flintoff</t>
  </si>
  <si>
    <t>S Aravind</t>
  </si>
  <si>
    <t>WA Mota</t>
  </si>
  <si>
    <t>JD Unadkat</t>
  </si>
  <si>
    <t>M Rawat</t>
  </si>
  <si>
    <t>I Sharma</t>
  </si>
  <si>
    <t>J Suchith</t>
  </si>
  <si>
    <t>Mohammed Shami</t>
  </si>
  <si>
    <t>A Chopra</t>
  </si>
  <si>
    <t>RR Rossouw</t>
  </si>
  <si>
    <t>RP Singh</t>
  </si>
  <si>
    <t>NM Coulter-Nile</t>
  </si>
  <si>
    <t>Shoaib Malik</t>
  </si>
  <si>
    <t>KB Arun Karthik</t>
  </si>
  <si>
    <t>R Rampaul</t>
  </si>
  <si>
    <t>RV Gomez</t>
  </si>
  <si>
    <t>SB Bangar</t>
  </si>
  <si>
    <t>VR Aaron</t>
  </si>
  <si>
    <t>AG Paunikar</t>
  </si>
  <si>
    <t>Yashpal Singh</t>
  </si>
  <si>
    <t>Kuldeep Yadav</t>
  </si>
  <si>
    <t>Sunny Singh</t>
  </si>
  <si>
    <t>AB Barath</t>
  </si>
  <si>
    <t>SK Trivedi</t>
  </si>
  <si>
    <t>JDS Neesham</t>
  </si>
  <si>
    <t>A Nehra</t>
  </si>
  <si>
    <t>LPC Silva</t>
  </si>
  <si>
    <t>S Dube</t>
  </si>
  <si>
    <t>BR Dunk</t>
  </si>
  <si>
    <t>Umar Gul</t>
  </si>
  <si>
    <t>AUK Pathan</t>
  </si>
  <si>
    <t>DJ Thornely</t>
  </si>
  <si>
    <t>MM Patel</t>
  </si>
  <si>
    <t>SP Jackson</t>
  </si>
  <si>
    <t>JO Holder</t>
  </si>
  <si>
    <t>Anureet Singh</t>
  </si>
  <si>
    <t>S Narwal</t>
  </si>
  <si>
    <t>JJ Bumrah</t>
  </si>
  <si>
    <t>Sohail Tanvir</t>
  </si>
  <si>
    <t>L Balaji</t>
  </si>
  <si>
    <t>KW Richardson</t>
  </si>
  <si>
    <t>Joginder Sharma</t>
  </si>
  <si>
    <t>AN Ahmed</t>
  </si>
  <si>
    <t>SN Thakur</t>
  </si>
  <si>
    <t>A Kumble</t>
  </si>
  <si>
    <t>B Sumanth</t>
  </si>
  <si>
    <t>S Sreesanth</t>
  </si>
  <si>
    <t>AP Dole</t>
  </si>
  <si>
    <t>A Mithun</t>
  </si>
  <si>
    <t>L Ronchi</t>
  </si>
  <si>
    <t>M Santner</t>
  </si>
  <si>
    <t>D Salunkhe</t>
  </si>
  <si>
    <t>Basil Thampi</t>
  </si>
  <si>
    <t>RJ Peterson</t>
  </si>
  <si>
    <t>Mohammed Siraj</t>
  </si>
  <si>
    <t>S Nadeem</t>
  </si>
  <si>
    <t>S Sriram</t>
  </si>
  <si>
    <t>T Taibu</t>
  </si>
  <si>
    <t>M Markande</t>
  </si>
  <si>
    <t>J Syed Mohammad</t>
  </si>
  <si>
    <t>VH Zol</t>
  </si>
  <si>
    <t>SB Jakati</t>
  </si>
  <si>
    <t>M Lomror</t>
  </si>
  <si>
    <t>JM Kemp</t>
  </si>
  <si>
    <t>NL McCullum</t>
  </si>
  <si>
    <t>AB Dinda</t>
  </si>
  <si>
    <t>Sandeep Sharma</t>
  </si>
  <si>
    <t>A Choudhary</t>
  </si>
  <si>
    <t>S Chanderpaul</t>
  </si>
  <si>
    <t>KC Cariappa</t>
  </si>
  <si>
    <t>MA Khote</t>
  </si>
  <si>
    <t>ER Dwivedi</t>
  </si>
  <si>
    <t>PJ Sangwan</t>
  </si>
  <si>
    <t>BMAJ Mendis</t>
  </si>
  <si>
    <t>T Curran</t>
  </si>
  <si>
    <t>J Arunkumar</t>
  </si>
  <si>
    <t>NS Naik</t>
  </si>
  <si>
    <t>SW Tait</t>
  </si>
  <si>
    <t>MS Wade</t>
  </si>
  <si>
    <t>GB Hogg</t>
  </si>
  <si>
    <t>YS Chahal</t>
  </si>
  <si>
    <t>CA Ingram</t>
  </si>
  <si>
    <t>DE Bollinger</t>
  </si>
  <si>
    <t>RR Raje</t>
  </si>
  <si>
    <t>M Muralitharan</t>
  </si>
  <si>
    <t>K Paul</t>
  </si>
  <si>
    <t>AC Thomas</t>
  </si>
  <si>
    <t>H Brar</t>
  </si>
  <si>
    <t>Imran Tahir</t>
  </si>
  <si>
    <t>NJ Maddinson</t>
  </si>
  <si>
    <t>Harpreet Singh</t>
  </si>
  <si>
    <t>R Shukla</t>
  </si>
  <si>
    <t>DR Martyn</t>
  </si>
  <si>
    <t>R Bishnoi</t>
  </si>
  <si>
    <t>P Sahu</t>
  </si>
  <si>
    <t>A Mukund</t>
  </si>
  <si>
    <t>Y Gnaneswara Rao</t>
  </si>
  <si>
    <t>P R Barman</t>
  </si>
  <si>
    <t>Vishnu Vinod</t>
  </si>
  <si>
    <t>JJ van der Wath</t>
  </si>
  <si>
    <t>Harmeet Singh</t>
  </si>
  <si>
    <t>BJ Haddin</t>
  </si>
  <si>
    <t>PV Tambe</t>
  </si>
  <si>
    <t>DS Lehmann</t>
  </si>
  <si>
    <t>Parvez Rasool</t>
  </si>
  <si>
    <t>AS Rajpoot</t>
  </si>
  <si>
    <t>PP Ojha</t>
  </si>
  <si>
    <t>CK Kapugedera</t>
  </si>
  <si>
    <t>S Singh</t>
  </si>
  <si>
    <t>SA Abbott</t>
  </si>
  <si>
    <t>C Madan</t>
  </si>
  <si>
    <t>GR Napier</t>
  </si>
  <si>
    <t>VY Mahesh</t>
  </si>
  <si>
    <t>RD Chahar</t>
  </si>
  <si>
    <t>A Joseph</t>
  </si>
  <si>
    <t>SD Lad</t>
  </si>
  <si>
    <t>F Behardien</t>
  </si>
  <si>
    <t>MDKJ Perera</t>
  </si>
  <si>
    <t>S Badree</t>
  </si>
  <si>
    <t>S Mavi</t>
  </si>
  <si>
    <t>DT Patil</t>
  </si>
  <si>
    <t>KJ Abbott</t>
  </si>
  <si>
    <t>D Shorey</t>
  </si>
  <si>
    <t>Swapnil Singh</t>
  </si>
  <si>
    <t>T Thushara</t>
  </si>
  <si>
    <t>TA Boult</t>
  </si>
  <si>
    <t>DAJ Bracewell</t>
  </si>
  <si>
    <t>M Ur Rahman</t>
  </si>
  <si>
    <t>AR Bawne</t>
  </si>
  <si>
    <t>AA Chavan</t>
  </si>
  <si>
    <t>Karanveer Singh</t>
  </si>
  <si>
    <t>K Upadhyay</t>
  </si>
  <si>
    <t>S Kaul</t>
  </si>
  <si>
    <t>M Ntini</t>
  </si>
  <si>
    <t>BB Sran</t>
  </si>
  <si>
    <t>T Henderson</t>
  </si>
  <si>
    <t>T Kohli</t>
  </si>
  <si>
    <t>DNT Zoysa</t>
  </si>
  <si>
    <t>X Thalaivan Sargunam</t>
  </si>
  <si>
    <t>J Theron</t>
  </si>
  <si>
    <t>AG Murtaza</t>
  </si>
  <si>
    <t>TD Paine</t>
  </si>
  <si>
    <t>KAJ Roach</t>
  </si>
  <si>
    <t>SMSM Senanayake</t>
  </si>
  <si>
    <t>D du Preez</t>
  </si>
  <si>
    <t>AA Noffke</t>
  </si>
  <si>
    <t>SM Harwood</t>
  </si>
  <si>
    <t>Jaskaran Singh</t>
  </si>
  <si>
    <t>CJ McKay</t>
  </si>
  <si>
    <t>J Searles</t>
  </si>
  <si>
    <t>TS Mills</t>
  </si>
  <si>
    <t>P Chopra</t>
  </si>
  <si>
    <t>TM Srivastava</t>
  </si>
  <si>
    <t>CK Langeveldt</t>
  </si>
  <si>
    <t>UA Birla</t>
  </si>
  <si>
    <t>VS Malik</t>
  </si>
  <si>
    <t>Pankaj Singh</t>
  </si>
  <si>
    <t>AF Milne</t>
  </si>
  <si>
    <t>N Naik</t>
  </si>
  <si>
    <t>AN Ghosh</t>
  </si>
  <si>
    <t>Ankit Soni</t>
  </si>
  <si>
    <t>I Malhotra</t>
  </si>
  <si>
    <t>R Bhui</t>
  </si>
  <si>
    <t>I Sodhi</t>
  </si>
  <si>
    <t>DM Bravo</t>
  </si>
  <si>
    <t>SS Shaikh</t>
  </si>
  <si>
    <t>SB Joshi</t>
  </si>
  <si>
    <t>J Yadav</t>
  </si>
  <si>
    <t>BA Bhatt</t>
  </si>
  <si>
    <t>S Sharma</t>
  </si>
  <si>
    <t>PSP Handscomb</t>
  </si>
  <si>
    <t>B Stanlake</t>
  </si>
  <si>
    <t>A Zampa</t>
  </si>
  <si>
    <t>R Salam</t>
  </si>
  <si>
    <t>Shivam Sharma</t>
  </si>
  <si>
    <t>SJ Srivastava</t>
  </si>
  <si>
    <t>P Awana</t>
  </si>
  <si>
    <t>KMDN Kulasekara</t>
  </si>
  <si>
    <t>B Laughlin</t>
  </si>
  <si>
    <t>DP Nannes</t>
  </si>
  <si>
    <t>A Uniyal</t>
  </si>
  <si>
    <t>FH Edwards</t>
  </si>
  <si>
    <t>A Chandila</t>
  </si>
  <si>
    <t>A Dananjaya</t>
  </si>
  <si>
    <t>CRD Fernando</t>
  </si>
  <si>
    <t>GD McGrath</t>
  </si>
  <si>
    <t>M Ashwin</t>
  </si>
  <si>
    <t>H Vihari</t>
  </si>
  <si>
    <t>Avesh Khan</t>
  </si>
  <si>
    <t>RS Sodhi</t>
  </si>
  <si>
    <t>VRV Singh</t>
  </si>
  <si>
    <t>CJ Jordan</t>
  </si>
  <si>
    <t>S Tyagi</t>
  </si>
  <si>
    <t>A Turner</t>
  </si>
  <si>
    <t>R Ninan</t>
  </si>
  <si>
    <t>D Kalyankrishna</t>
  </si>
  <si>
    <t>JE Taylor</t>
  </si>
  <si>
    <t>H Viljoen</t>
  </si>
  <si>
    <t>BAW Mendis</t>
  </si>
  <si>
    <t>Mohammad Asif</t>
  </si>
  <si>
    <t>Kamran Khan</t>
  </si>
  <si>
    <t>Younis Khan</t>
  </si>
  <si>
    <t>KP Appanna</t>
  </si>
  <si>
    <t>RS Gavaskar</t>
  </si>
  <si>
    <t>SB Wagh</t>
  </si>
  <si>
    <t>Mohammad Ashraful</t>
  </si>
  <si>
    <t>Mashrafe Mortaza</t>
  </si>
  <si>
    <t>S Randiv</t>
  </si>
  <si>
    <t>Shoaib Akhtar</t>
  </si>
  <si>
    <t>RG More</t>
  </si>
  <si>
    <t>A Singh</t>
  </si>
  <si>
    <t>VS Yeligati</t>
  </si>
  <si>
    <t>H Das</t>
  </si>
  <si>
    <t>SE Bond</t>
  </si>
  <si>
    <t>PM Sarvesh Kumar</t>
  </si>
  <si>
    <t>Shoaib Ahmed</t>
  </si>
  <si>
    <t>Mustafizur Rahman</t>
  </si>
  <si>
    <t>LH Ferguson</t>
  </si>
  <si>
    <t>H Gurney</t>
  </si>
  <si>
    <t>L Plunkett</t>
  </si>
  <si>
    <t>BE Hendricks</t>
  </si>
  <si>
    <t>P Parameswaran</t>
  </si>
  <si>
    <t>DP Vijaykumar</t>
  </si>
  <si>
    <t>DJ Muthuswami</t>
  </si>
  <si>
    <t>M Wood</t>
  </si>
  <si>
    <t>NJ Rimmington</t>
  </si>
  <si>
    <t>P Krishna</t>
  </si>
  <si>
    <t>M de Lange</t>
  </si>
  <si>
    <t>K Ahmed</t>
  </si>
  <si>
    <t>C Nanda</t>
  </si>
  <si>
    <t>YA Abdulla</t>
  </si>
  <si>
    <t>U Kaul</t>
  </si>
  <si>
    <t>P Raj</t>
  </si>
  <si>
    <t>S Lamichhane</t>
  </si>
  <si>
    <t>RR Bhatkal</t>
  </si>
  <si>
    <t>IC Pandey</t>
  </si>
  <si>
    <t>L Ablish</t>
  </si>
  <si>
    <t>Abdur Razzak</t>
  </si>
  <si>
    <t>Sunny Gupta</t>
  </si>
  <si>
    <t>ND Doshi</t>
  </si>
  <si>
    <t>J Denly</t>
  </si>
  <si>
    <t>S Ladda</t>
  </si>
  <si>
    <t>V Pratap Singh</t>
  </si>
  <si>
    <t>S Kaushik</t>
  </si>
  <si>
    <t>Average</t>
  </si>
  <si>
    <t>Number of balls</t>
  </si>
  <si>
    <t>Batsman</t>
  </si>
  <si>
    <t>Total_runs</t>
  </si>
  <si>
    <t>Strikerate</t>
  </si>
  <si>
    <t>Grand Total</t>
  </si>
  <si>
    <t>Sum of Total_runs</t>
  </si>
  <si>
    <t xml:space="preserve"> Total_runs</t>
  </si>
  <si>
    <t>Average of Average</t>
  </si>
  <si>
    <t>Values</t>
  </si>
  <si>
    <t>Average of Strikerate</t>
  </si>
  <si>
    <t xml:space="preserve"> Number of balls</t>
  </si>
  <si>
    <t>Total Number of balls</t>
  </si>
  <si>
    <t xml:space="preserve">Average </t>
  </si>
  <si>
    <t>Strikerate Average</t>
  </si>
  <si>
    <t>IPL BATSMAN PERFORMANCE DASHBOARD</t>
  </si>
  <si>
    <t>Summary</t>
  </si>
  <si>
    <t>Top Perfromance Based Batsman</t>
  </si>
  <si>
    <t>Sum of out</t>
  </si>
  <si>
    <t>Runs</t>
  </si>
  <si>
    <t>Dismissed</t>
  </si>
  <si>
    <t>Pivot Table</t>
  </si>
  <si>
    <t>RUNS</t>
  </si>
  <si>
    <t>BATSMAN</t>
  </si>
  <si>
    <t>Average_runs</t>
  </si>
  <si>
    <t>HightsT_runs</t>
  </si>
  <si>
    <t>Total_runs of all batsman</t>
  </si>
  <si>
    <t>Lowest_runs</t>
  </si>
  <si>
    <t>Total_Batsman</t>
  </si>
  <si>
    <t>BASIC_FORMULA</t>
  </si>
  <si>
    <t>LOGICAL_BASED</t>
  </si>
  <si>
    <t>Count the total_batsaman have run more then 5000</t>
  </si>
  <si>
    <t>Count_Batsman with strike rate &gt;130 and AVG&gt;30</t>
  </si>
  <si>
    <t>Sum run where avg&gt;40</t>
  </si>
  <si>
    <t>LOOKUP</t>
  </si>
  <si>
    <t>Find the  Virat_kohli_Run</t>
  </si>
  <si>
    <t>Find the  RG_Sharma  Balls</t>
  </si>
  <si>
    <t>Find the Raina Average</t>
  </si>
  <si>
    <t>FORMULA  ANALYSIS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</si>
</sst>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 wrapText="1"/>
    </xf>
    <xf numFmtId="0" fontId="18" fillId="33" borderId="0" xfId="0" applyFont="1" applyFill="1" applyAlignment="1">
      <alignment vertical="center"/>
    </xf>
    <xf numFmtId="0" fontId="18" fillId="33" borderId="0" xfId="0" applyNumberFormat="1" applyFont="1" applyFill="1" applyAlignment="1">
      <alignment vertical="center"/>
    </xf>
    <xf numFmtId="2" fontId="18" fillId="33" borderId="0" xfId="0" applyNumberFormat="1" applyFont="1" applyFill="1" applyAlignment="1">
      <alignment vertical="center"/>
    </xf>
    <xf numFmtId="0" fontId="20" fillId="33" borderId="0" xfId="0" applyFont="1" applyFill="1" applyAlignment="1">
      <alignment horizontal="center" wrapText="1"/>
    </xf>
    <xf numFmtId="0" fontId="19" fillId="34" borderId="0" xfId="0" applyFont="1" applyFill="1"/>
    <xf numFmtId="0" fontId="0" fillId="35" borderId="0" xfId="0" applyFill="1"/>
    <xf numFmtId="0" fontId="21" fillId="35" borderId="0" xfId="0" applyFont="1" applyFill="1"/>
    <xf numFmtId="2" fontId="0" fillId="35" borderId="0" xfId="0" applyNumberFormat="1" applyFill="1"/>
    <xf numFmtId="0" fontId="0" fillId="35" borderId="0" xfId="0" applyFill="1" applyAlignment="1">
      <alignment horizontal="left"/>
    </xf>
    <xf numFmtId="0" fontId="0" fillId="35" borderId="0" xfId="0" applyNumberFormat="1" applyFill="1"/>
    <xf numFmtId="9" fontId="0" fillId="35" borderId="0" xfId="0" applyNumberFormat="1" applyFill="1"/>
    <xf numFmtId="0" fontId="16" fillId="0" borderId="0" xfId="0" applyFont="1"/>
    <xf numFmtId="0" fontId="25" fillId="36" borderId="10" xfId="0" applyFont="1" applyFill="1" applyBorder="1"/>
    <xf numFmtId="0" fontId="0" fillId="36" borderId="10" xfId="0" applyFill="1" applyBorder="1"/>
    <xf numFmtId="0" fontId="0" fillId="36" borderId="0" xfId="0" applyFill="1"/>
    <xf numFmtId="0" fontId="0" fillId="37" borderId="0" xfId="0" applyFill="1"/>
    <xf numFmtId="0" fontId="22" fillId="37" borderId="0" xfId="0" applyFont="1" applyFill="1"/>
    <xf numFmtId="0" fontId="23" fillId="36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24" fillId="36" borderId="10" xfId="0" applyFont="1" applyFill="1" applyBorder="1"/>
    <xf numFmtId="0" fontId="0" fillId="36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 patternType="solid">
          <bgColor theme="8" tint="0.59999389629810485"/>
        </patternFill>
      </fill>
    </dxf>
    <dxf>
      <alignment horizontal="general" readingOrder="0"/>
    </dxf>
    <dxf>
      <font>
        <sz val="14"/>
      </font>
    </dxf>
    <dxf>
      <alignment horizontal="center" readingOrder="0"/>
    </dxf>
    <dxf>
      <alignment vertical="center" readingOrder="0"/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numFmt numFmtId="13" formatCode="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4"/>
  <c:pivotSource>
    <c:name>[IPL_BATSMAN_DASHBOARD.xlsx]Pivot_TABLE!PivotTable1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BATSMAN RUNS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view3D>
      <c:rotX val="10"/>
      <c:rotY val="7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Pivot_TABLE!$A$4:$A$14</c:f>
              <c:strCache>
                <c:ptCount val="10"/>
                <c:pt idx="0">
                  <c:v>V Kohli</c:v>
                </c:pt>
                <c:pt idx="1">
                  <c:v>SK Raina</c:v>
                </c:pt>
                <c:pt idx="2">
                  <c:v>RG Sharma</c:v>
                </c:pt>
                <c:pt idx="3">
                  <c:v>DA Warner</c:v>
                </c:pt>
                <c:pt idx="4">
                  <c:v>S Dhawan</c:v>
                </c:pt>
                <c:pt idx="5">
                  <c:v>CH Gayle</c:v>
                </c:pt>
                <c:pt idx="6">
                  <c:v>MS Dhoni</c:v>
                </c:pt>
                <c:pt idx="7">
                  <c:v>RV Uthappa</c:v>
                </c:pt>
                <c:pt idx="8">
                  <c:v>AB de Villiers</c:v>
                </c:pt>
                <c:pt idx="9">
                  <c:v>G Gambhir</c:v>
                </c:pt>
              </c:strCache>
            </c:strRef>
          </c:cat>
          <c:val>
            <c:numRef>
              <c:f>Pivot_TABLE!$B$4:$B$14</c:f>
              <c:numCache>
                <c:formatCode>General</c:formatCode>
                <c:ptCount val="10"/>
                <c:pt idx="0">
                  <c:v>5426</c:v>
                </c:pt>
                <c:pt idx="1">
                  <c:v>5386</c:v>
                </c:pt>
                <c:pt idx="2">
                  <c:v>4902</c:v>
                </c:pt>
                <c:pt idx="3">
                  <c:v>4717</c:v>
                </c:pt>
                <c:pt idx="4">
                  <c:v>4601</c:v>
                </c:pt>
                <c:pt idx="5">
                  <c:v>4525</c:v>
                </c:pt>
                <c:pt idx="6">
                  <c:v>4450</c:v>
                </c:pt>
                <c:pt idx="7">
                  <c:v>4420</c:v>
                </c:pt>
                <c:pt idx="8">
                  <c:v>4414</c:v>
                </c:pt>
                <c:pt idx="9">
                  <c:v>4219</c:v>
                </c:pt>
              </c:numCache>
            </c:numRef>
          </c:val>
        </c:ser>
        <c:shape val="cylinder"/>
        <c:axId val="142373632"/>
        <c:axId val="142375552"/>
        <c:axId val="0"/>
      </c:bar3DChart>
      <c:catAx>
        <c:axId val="142373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olidFill>
                      <a:schemeClr val="bg2"/>
                    </a:solidFill>
                  </a:rPr>
                  <a:t>Batsman</a:t>
                </a:r>
              </a:p>
            </c:rich>
          </c:tx>
          <c:layout/>
        </c:title>
        <c:tickLblPos val="nextTo"/>
        <c:crossAx val="142375552"/>
        <c:crosses val="autoZero"/>
        <c:auto val="1"/>
        <c:lblAlgn val="ctr"/>
        <c:lblOffset val="100"/>
      </c:catAx>
      <c:valAx>
        <c:axId val="1423755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</a:t>
                </a:r>
                <a:r>
                  <a:rPr lang="en-US" baseline="0"/>
                  <a:t> _Runs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423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75131233595891"/>
          <c:y val="0.44187992125984343"/>
          <c:w val="0.10435979877515311"/>
          <c:h val="8.8346821230679634E-2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/>
            </a:pPr>
            <a:r>
              <a:rPr lang="en-US"/>
              <a:t>Batsman</a:t>
            </a:r>
            <a:r>
              <a:rPr lang="en-US" baseline="0"/>
              <a:t> Strikerate</a:t>
            </a:r>
            <a:endParaRPr lang="en-US"/>
          </a:p>
        </c:rich>
      </c:tx>
      <c:layout>
        <c:manualLayout>
          <c:xMode val="edge"/>
          <c:yMode val="edge"/>
          <c:x val="0.28609411702325088"/>
          <c:y val="3.864734299516915E-2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2245949256342957"/>
          <c:y val="0.14847664812529399"/>
          <c:w val="0.7217147856517937"/>
          <c:h val="0.47441553005263687"/>
        </c:manualLayout>
      </c:layout>
      <c:bar3D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10"/>
              <c:pt idx="0">
                <c:v>B Stanlake</c:v>
              </c:pt>
              <c:pt idx="1">
                <c:v>KMDN Kulasekara</c:v>
              </c:pt>
              <c:pt idx="2">
                <c:v>Umar Gul</c:v>
              </c:pt>
              <c:pt idx="3">
                <c:v>RS Sodhi</c:v>
              </c:pt>
              <c:pt idx="4">
                <c:v>S Sharma</c:v>
              </c:pt>
              <c:pt idx="5">
                <c:v>VRV Singh</c:v>
              </c:pt>
              <c:pt idx="6">
                <c:v>AD Russell</c:v>
              </c:pt>
              <c:pt idx="7">
                <c:v>LJ Wright</c:v>
              </c:pt>
              <c:pt idx="8">
                <c:v>Shahid Afridi</c:v>
              </c:pt>
              <c:pt idx="9">
                <c:v>I Malhotra</c:v>
              </c:pt>
            </c:strLit>
          </c:cat>
          <c:val>
            <c:numLit>
              <c:formatCode>General</c:formatCode>
              <c:ptCount val="10"/>
              <c:pt idx="0">
                <c:v>250</c:v>
              </c:pt>
              <c:pt idx="1">
                <c:v>250</c:v>
              </c:pt>
              <c:pt idx="2">
                <c:v>205.26315789473591</c:v>
              </c:pt>
              <c:pt idx="3">
                <c:v>200</c:v>
              </c:pt>
              <c:pt idx="4">
                <c:v>200</c:v>
              </c:pt>
              <c:pt idx="5">
                <c:v>200</c:v>
              </c:pt>
              <c:pt idx="6">
                <c:v>188.16489361702099</c:v>
              </c:pt>
              <c:pt idx="7">
                <c:v>176.66666666666598</c:v>
              </c:pt>
              <c:pt idx="8">
                <c:v>176.08695652173901</c:v>
              </c:pt>
              <c:pt idx="9">
                <c:v>175</c:v>
              </c:pt>
            </c:numLit>
          </c:val>
        </c:ser>
        <c:shape val="box"/>
        <c:axId val="142404608"/>
        <c:axId val="142619776"/>
        <c:axId val="0"/>
      </c:bar3DChart>
      <c:catAx>
        <c:axId val="142404608"/>
        <c:scaling>
          <c:orientation val="minMax"/>
        </c:scaling>
        <c:axPos val="l"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Batsnab</a:t>
                </a:r>
              </a:p>
            </c:rich>
          </c:tx>
          <c:layout>
            <c:manualLayout>
              <c:xMode val="edge"/>
              <c:yMode val="edge"/>
              <c:x val="5.8315013653596419E-2"/>
              <c:y val="0.19700498307276831"/>
            </c:manualLayout>
          </c:layout>
        </c:title>
        <c:majorTickMark val="none"/>
        <c:tickLblPos val="nextTo"/>
        <c:crossAx val="142619776"/>
        <c:crosses val="autoZero"/>
        <c:auto val="1"/>
        <c:lblAlgn val="ctr"/>
        <c:lblOffset val="100"/>
      </c:catAx>
      <c:valAx>
        <c:axId val="14261977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Strikerate</a:t>
                </a:r>
              </a:p>
            </c:rich>
          </c:tx>
          <c:layout>
            <c:manualLayout>
              <c:xMode val="edge"/>
              <c:yMode val="edge"/>
              <c:x val="0.50166144383467215"/>
              <c:y val="0.67995851393741835"/>
            </c:manualLayout>
          </c:layout>
        </c:title>
        <c:numFmt formatCode="General" sourceLinked="1"/>
        <c:majorTickMark val="none"/>
        <c:tickLblPos val="nextTo"/>
        <c:crossAx val="14240460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/>
            </a:pPr>
            <a:r>
              <a:rPr lang="en-US"/>
              <a:t>Batsman</a:t>
            </a:r>
            <a:r>
              <a:rPr lang="en-US" baseline="0"/>
              <a:t> by No.of Balls vs Total_Runs</a:t>
            </a:r>
            <a:endParaRPr lang="en-US"/>
          </a:p>
        </c:rich>
      </c:tx>
      <c:layout>
        <c:manualLayout>
          <c:xMode val="edge"/>
          <c:yMode val="edge"/>
          <c:x val="0.14245292154014738"/>
          <c:y val="3.7996545768566516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view3D>
      <c:rotX val="10"/>
      <c:perspective val="30"/>
    </c:view3D>
    <c:plotArea>
      <c:layout>
        <c:manualLayout>
          <c:layoutTarget val="inner"/>
          <c:xMode val="edge"/>
          <c:yMode val="edge"/>
          <c:x val="0.16367861784267257"/>
          <c:y val="0.12627065399208517"/>
          <c:w val="0.80266442422852546"/>
          <c:h val="0.55840534181931867"/>
        </c:manualLayout>
      </c:layout>
      <c:bar3DChart>
        <c:barDir val="col"/>
        <c:grouping val="clustered"/>
        <c:ser>
          <c:idx val="0"/>
          <c:order val="0"/>
          <c:tx>
            <c:v> Number of balls</c:v>
          </c:tx>
          <c:cat>
            <c:strLit>
              <c:ptCount val="10"/>
              <c:pt idx="0">
                <c:v>V Kohli</c:v>
              </c:pt>
              <c:pt idx="1">
                <c:v>SK Raina</c:v>
              </c:pt>
              <c:pt idx="2">
                <c:v>RG Sharma</c:v>
              </c:pt>
              <c:pt idx="3">
                <c:v>S Dhawan</c:v>
              </c:pt>
              <c:pt idx="4">
                <c:v>G Gambhir</c:v>
              </c:pt>
              <c:pt idx="5">
                <c:v>RV Uthappa</c:v>
              </c:pt>
              <c:pt idx="6">
                <c:v>DA Warner</c:v>
              </c:pt>
              <c:pt idx="7">
                <c:v>MS Dhoni</c:v>
              </c:pt>
              <c:pt idx="8">
                <c:v>AM Rahane</c:v>
              </c:pt>
              <c:pt idx="9">
                <c:v>CH Gayle</c:v>
              </c:pt>
            </c:strLit>
          </c:cat>
          <c:val>
            <c:numLit>
              <c:formatCode>General</c:formatCode>
              <c:ptCount val="10"/>
              <c:pt idx="0">
                <c:v>4111</c:v>
              </c:pt>
              <c:pt idx="1">
                <c:v>3916</c:v>
              </c:pt>
              <c:pt idx="2">
                <c:v>3742</c:v>
              </c:pt>
              <c:pt idx="3">
                <c:v>3665</c:v>
              </c:pt>
              <c:pt idx="4">
                <c:v>3400</c:v>
              </c:pt>
              <c:pt idx="5">
                <c:v>3381</c:v>
              </c:pt>
              <c:pt idx="6">
                <c:v>3292</c:v>
              </c:pt>
              <c:pt idx="7">
                <c:v>3206</c:v>
              </c:pt>
              <c:pt idx="8">
                <c:v>3133</c:v>
              </c:pt>
              <c:pt idx="9">
                <c:v>2972</c:v>
              </c:pt>
            </c:numLit>
          </c:val>
        </c:ser>
        <c:ser>
          <c:idx val="1"/>
          <c:order val="1"/>
          <c:tx>
            <c:v>Sum of Total_runs</c:v>
          </c:tx>
          <c:cat>
            <c:strLit>
              <c:ptCount val="10"/>
              <c:pt idx="0">
                <c:v>V Kohli</c:v>
              </c:pt>
              <c:pt idx="1">
                <c:v>SK Raina</c:v>
              </c:pt>
              <c:pt idx="2">
                <c:v>RG Sharma</c:v>
              </c:pt>
              <c:pt idx="3">
                <c:v>S Dhawan</c:v>
              </c:pt>
              <c:pt idx="4">
                <c:v>G Gambhir</c:v>
              </c:pt>
              <c:pt idx="5">
                <c:v>RV Uthappa</c:v>
              </c:pt>
              <c:pt idx="6">
                <c:v>DA Warner</c:v>
              </c:pt>
              <c:pt idx="7">
                <c:v>MS Dhoni</c:v>
              </c:pt>
              <c:pt idx="8">
                <c:v>AM Rahane</c:v>
              </c:pt>
              <c:pt idx="9">
                <c:v>CH Gayle</c:v>
              </c:pt>
            </c:strLit>
          </c:cat>
          <c:val>
            <c:numLit>
              <c:formatCode>General</c:formatCode>
              <c:ptCount val="10"/>
              <c:pt idx="0">
                <c:v>5426</c:v>
              </c:pt>
              <c:pt idx="1">
                <c:v>5386</c:v>
              </c:pt>
              <c:pt idx="2">
                <c:v>4902</c:v>
              </c:pt>
              <c:pt idx="3">
                <c:v>4601</c:v>
              </c:pt>
              <c:pt idx="4">
                <c:v>4219</c:v>
              </c:pt>
              <c:pt idx="5">
                <c:v>4420</c:v>
              </c:pt>
              <c:pt idx="6">
                <c:v>4717</c:v>
              </c:pt>
              <c:pt idx="7">
                <c:v>4450</c:v>
              </c:pt>
              <c:pt idx="8">
                <c:v>3834</c:v>
              </c:pt>
              <c:pt idx="9">
                <c:v>4525</c:v>
              </c:pt>
            </c:numLit>
          </c:val>
        </c:ser>
        <c:gapWidth val="75"/>
        <c:shape val="cylinder"/>
        <c:axId val="142638464"/>
        <c:axId val="146683392"/>
        <c:axId val="0"/>
      </c:bar3DChart>
      <c:catAx>
        <c:axId val="142638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BATSMAN</a:t>
                </a:r>
              </a:p>
            </c:rich>
          </c:tx>
          <c:layout>
            <c:manualLayout>
              <c:xMode val="edge"/>
              <c:yMode val="edge"/>
              <c:x val="0.40434339882271997"/>
              <c:y val="0.8312306039465277"/>
            </c:manualLayout>
          </c:layout>
        </c:title>
        <c:majorTickMark val="none"/>
        <c:tickLblPos val="nextTo"/>
        <c:crossAx val="146683392"/>
        <c:crosses val="autoZero"/>
        <c:auto val="1"/>
        <c:lblAlgn val="ctr"/>
        <c:lblOffset val="100"/>
      </c:catAx>
      <c:valAx>
        <c:axId val="1466833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TOAL</a:t>
                </a:r>
                <a:r>
                  <a:rPr lang="en-US" baseline="0"/>
                  <a:t> RUNS AND BALLS </a:t>
                </a: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 w="9525">
            <a:noFill/>
          </a:ln>
        </c:spPr>
        <c:crossAx val="142638464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5"/>
  <c:chart>
    <c:title>
      <c:tx>
        <c:rich>
          <a:bodyPr/>
          <a:lstStyle/>
          <a:p>
            <a:pPr>
              <a:defRPr/>
            </a:pPr>
            <a:r>
              <a:rPr lang="en-US"/>
              <a:t>Top 10 Batsman Out</a:t>
            </a:r>
          </a:p>
        </c:rich>
      </c:tx>
      <c:layout>
        <c:manualLayout>
          <c:xMode val="edge"/>
          <c:yMode val="edge"/>
          <c:x val="0.28243744531933507"/>
          <c:y val="2.7777777777777811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10"/>
              <c:pt idx="0">
                <c:v>RG Sharma</c:v>
              </c:pt>
              <c:pt idx="1">
                <c:v>SK Raina</c:v>
              </c:pt>
              <c:pt idx="2">
                <c:v>RV Uthappa</c:v>
              </c:pt>
              <c:pt idx="3">
                <c:v>V Kohli</c:v>
              </c:pt>
              <c:pt idx="4">
                <c:v>KD Karthik</c:v>
              </c:pt>
              <c:pt idx="5">
                <c:v>S Dhawan</c:v>
              </c:pt>
              <c:pt idx="6">
                <c:v>G Gambhir</c:v>
              </c:pt>
              <c:pt idx="7">
                <c:v>PA Patel</c:v>
              </c:pt>
              <c:pt idx="8">
                <c:v>MS Dhoni</c:v>
              </c:pt>
              <c:pt idx="9">
                <c:v>AM Rahane</c:v>
              </c:pt>
            </c:strLit>
          </c:cat>
          <c:val>
            <c:numLit>
              <c:formatCode>General</c:formatCode>
              <c:ptCount val="10"/>
              <c:pt idx="0">
                <c:v>161</c:v>
              </c:pt>
              <c:pt idx="1">
                <c:v>160</c:v>
              </c:pt>
              <c:pt idx="2">
                <c:v>156</c:v>
              </c:pt>
              <c:pt idx="3">
                <c:v>152</c:v>
              </c:pt>
              <c:pt idx="4">
                <c:v>138</c:v>
              </c:pt>
              <c:pt idx="5">
                <c:v>137</c:v>
              </c:pt>
              <c:pt idx="6">
                <c:v>134</c:v>
              </c:pt>
              <c:pt idx="7">
                <c:v>127</c:v>
              </c:pt>
              <c:pt idx="8">
                <c:v>118</c:v>
              </c:pt>
              <c:pt idx="9">
                <c:v>117</c:v>
              </c:pt>
            </c:numLit>
          </c:val>
        </c:ser>
        <c:shape val="box"/>
        <c:axId val="146700160"/>
        <c:axId val="146718720"/>
        <c:axId val="0"/>
      </c:bar3DChart>
      <c:catAx>
        <c:axId val="146700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Batsman</a:t>
                </a:r>
              </a:p>
            </c:rich>
          </c:tx>
          <c:layout/>
        </c:title>
        <c:tickLblPos val="nextTo"/>
        <c:crossAx val="146718720"/>
        <c:crosses val="autoZero"/>
        <c:auto val="1"/>
        <c:lblAlgn val="ctr"/>
        <c:lblOffset val="100"/>
      </c:catAx>
      <c:valAx>
        <c:axId val="146718720"/>
        <c:scaling>
          <c:orientation val="minMax"/>
        </c:scaling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Totalout</a:t>
                </a:r>
              </a:p>
            </c:rich>
          </c:tx>
          <c:layout>
            <c:manualLayout>
              <c:xMode val="edge"/>
              <c:yMode val="edge"/>
              <c:x val="6.6678477690288715E-2"/>
              <c:y val="0.18554425488480633"/>
            </c:manualLayout>
          </c:layout>
        </c:title>
        <c:numFmt formatCode="General" sourceLinked="1"/>
        <c:tickLblPos val="nextTo"/>
        <c:crossAx val="146700160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/>
            </a:pPr>
            <a:r>
              <a:rPr lang="en-US"/>
              <a:t>Average Batsman</a:t>
            </a:r>
          </a:p>
        </c:rich>
      </c:tx>
      <c:layout>
        <c:manualLayout>
          <c:xMode val="edge"/>
          <c:yMode val="edge"/>
          <c:x val="0.33629424162888732"/>
          <c:y val="3.7037037037037049E-2"/>
        </c:manualLayout>
      </c:layout>
    </c:title>
    <c:pivotFmts>
      <c:pivotFmt>
        <c:idx val="0"/>
        <c:marker>
          <c:symbol val="none"/>
        </c:marker>
        <c:dLbl>
          <c:idx val="0"/>
          <c:showCatName val="1"/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CatName val="1"/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CatName val="1"/>
          <c:showPercent val="1"/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Lbls>
            <c:showCatName val="1"/>
            <c:showPercent val="1"/>
          </c:dLbls>
          <c:cat>
            <c:strLit>
              <c:ptCount val="5"/>
              <c:pt idx="0">
                <c:v>Iqbal Abdulla</c:v>
              </c:pt>
              <c:pt idx="1">
                <c:v>J Bairstow</c:v>
              </c:pt>
              <c:pt idx="2">
                <c:v>MN van Wyk</c:v>
              </c:pt>
              <c:pt idx="3">
                <c:v>PD Collingwood</c:v>
              </c:pt>
              <c:pt idx="4">
                <c:v>HM Amla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57.375</c:v>
              </c:pt>
              <c:pt idx="2">
                <c:v>55.666666666666558</c:v>
              </c:pt>
              <c:pt idx="3">
                <c:v>50.75</c:v>
              </c:pt>
              <c:pt idx="4">
                <c:v>44.384615384615294</c:v>
              </c:pt>
            </c:numLit>
          </c:val>
        </c:ser>
        <c:dLbls>
          <c:showCatName val="1"/>
          <c:showPercent val="1"/>
        </c:dLbls>
        <c:firstSliceAng val="0"/>
        <c:holeSize val="50"/>
      </c:doughnutChart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5"/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Batsman Runs vs Out</a:t>
            </a:r>
            <a:endParaRPr lang="en-US"/>
          </a:p>
        </c:rich>
      </c:tx>
      <c:layout>
        <c:manualLayout>
          <c:xMode val="edge"/>
          <c:yMode val="edge"/>
          <c:x val="0.16793010752688181"/>
          <c:y val="2.133333333333335E-2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Runs</c:v>
          </c:tx>
          <c:cat>
            <c:strLit>
              <c:ptCount val="10"/>
              <c:pt idx="0">
                <c:v>V Kohli</c:v>
              </c:pt>
              <c:pt idx="1">
                <c:v>SK Raina</c:v>
              </c:pt>
              <c:pt idx="2">
                <c:v>RG Sharma</c:v>
              </c:pt>
              <c:pt idx="3">
                <c:v>DA Warner</c:v>
              </c:pt>
              <c:pt idx="4">
                <c:v>S Dhawan</c:v>
              </c:pt>
              <c:pt idx="5">
                <c:v>CH Gayle</c:v>
              </c:pt>
              <c:pt idx="6">
                <c:v>MS Dhoni</c:v>
              </c:pt>
              <c:pt idx="7">
                <c:v>RV Uthappa</c:v>
              </c:pt>
              <c:pt idx="8">
                <c:v>AB de Villiers</c:v>
              </c:pt>
              <c:pt idx="9">
                <c:v>G Gambhir</c:v>
              </c:pt>
            </c:strLit>
          </c:cat>
          <c:val>
            <c:numLit>
              <c:formatCode>General</c:formatCode>
              <c:ptCount val="10"/>
              <c:pt idx="0">
                <c:v>5426</c:v>
              </c:pt>
              <c:pt idx="1">
                <c:v>5386</c:v>
              </c:pt>
              <c:pt idx="2">
                <c:v>4902</c:v>
              </c:pt>
              <c:pt idx="3">
                <c:v>4717</c:v>
              </c:pt>
              <c:pt idx="4">
                <c:v>4601</c:v>
              </c:pt>
              <c:pt idx="5">
                <c:v>4525</c:v>
              </c:pt>
              <c:pt idx="6">
                <c:v>4450</c:v>
              </c:pt>
              <c:pt idx="7">
                <c:v>4420</c:v>
              </c:pt>
              <c:pt idx="8">
                <c:v>4414</c:v>
              </c:pt>
              <c:pt idx="9">
                <c:v>4219</c:v>
              </c:pt>
            </c:numLit>
          </c:val>
        </c:ser>
        <c:ser>
          <c:idx val="1"/>
          <c:order val="1"/>
          <c:tx>
            <c:v>Dismissed</c:v>
          </c:tx>
          <c:cat>
            <c:strLit>
              <c:ptCount val="10"/>
              <c:pt idx="0">
                <c:v>V Kohli</c:v>
              </c:pt>
              <c:pt idx="1">
                <c:v>SK Raina</c:v>
              </c:pt>
              <c:pt idx="2">
                <c:v>RG Sharma</c:v>
              </c:pt>
              <c:pt idx="3">
                <c:v>DA Warner</c:v>
              </c:pt>
              <c:pt idx="4">
                <c:v>S Dhawan</c:v>
              </c:pt>
              <c:pt idx="5">
                <c:v>CH Gayle</c:v>
              </c:pt>
              <c:pt idx="6">
                <c:v>MS Dhoni</c:v>
              </c:pt>
              <c:pt idx="7">
                <c:v>RV Uthappa</c:v>
              </c:pt>
              <c:pt idx="8">
                <c:v>AB de Villiers</c:v>
              </c:pt>
              <c:pt idx="9">
                <c:v>G Gambhir</c:v>
              </c:pt>
            </c:strLit>
          </c:cat>
          <c:val>
            <c:numLit>
              <c:formatCode>General</c:formatCode>
              <c:ptCount val="10"/>
              <c:pt idx="0">
                <c:v>152</c:v>
              </c:pt>
              <c:pt idx="1">
                <c:v>160</c:v>
              </c:pt>
              <c:pt idx="2">
                <c:v>161</c:v>
              </c:pt>
              <c:pt idx="3">
                <c:v>114</c:v>
              </c:pt>
              <c:pt idx="4">
                <c:v>137</c:v>
              </c:pt>
              <c:pt idx="5">
                <c:v>110</c:v>
              </c:pt>
              <c:pt idx="6">
                <c:v>118</c:v>
              </c:pt>
              <c:pt idx="7">
                <c:v>156</c:v>
              </c:pt>
              <c:pt idx="8">
                <c:v>104</c:v>
              </c:pt>
              <c:pt idx="9">
                <c:v>134</c:v>
              </c:pt>
            </c:numLit>
          </c:val>
        </c:ser>
        <c:shape val="cylinder"/>
        <c:axId val="146766848"/>
        <c:axId val="146797696"/>
        <c:axId val="0"/>
      </c:bar3DChart>
      <c:catAx>
        <c:axId val="146766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Batsman</a:t>
                </a:r>
              </a:p>
            </c:rich>
          </c:tx>
          <c:layout/>
        </c:title>
        <c:tickLblPos val="nextTo"/>
        <c:crossAx val="146797696"/>
        <c:crosses val="autoZero"/>
        <c:auto val="1"/>
        <c:lblAlgn val="ctr"/>
        <c:lblOffset val="100"/>
      </c:catAx>
      <c:valAx>
        <c:axId val="146797696"/>
        <c:scaling>
          <c:orientation val="minMax"/>
        </c:scaling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 sz="900"/>
                  <a:t>out</a:t>
                </a:r>
                <a:r>
                  <a:rPr lang="en-US" sz="900" baseline="0"/>
                  <a:t>Times</a:t>
                </a:r>
                <a:endParaRPr lang="en-US" sz="900"/>
              </a:p>
            </c:rich>
          </c:tx>
          <c:layout>
            <c:manualLayout>
              <c:xMode val="edge"/>
              <c:yMode val="edge"/>
              <c:x val="5.7799650043744606E-2"/>
              <c:y val="0.17165536599591719"/>
            </c:manualLayout>
          </c:layout>
        </c:title>
        <c:numFmt formatCode="General" sourceLinked="1"/>
        <c:tickLblPos val="nextTo"/>
        <c:crossAx val="146766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38100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85725</xdr:rowOff>
    </xdr:from>
    <xdr:to>
      <xdr:col>3</xdr:col>
      <xdr:colOff>219075</xdr:colOff>
      <xdr:row>44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590550</xdr:colOff>
      <xdr:row>24</xdr:row>
      <xdr:rowOff>180975</xdr:rowOff>
    </xdr:from>
    <xdr:to>
      <xdr:col>8</xdr:col>
      <xdr:colOff>209550</xdr:colOff>
      <xdr:row>44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152400</xdr:colOff>
      <xdr:row>6</xdr:row>
      <xdr:rowOff>28575</xdr:rowOff>
    </xdr:from>
    <xdr:to>
      <xdr:col>16</xdr:col>
      <xdr:colOff>457200</xdr:colOff>
      <xdr:row>20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504825</xdr:colOff>
      <xdr:row>5</xdr:row>
      <xdr:rowOff>457200</xdr:rowOff>
    </xdr:from>
    <xdr:to>
      <xdr:col>8</xdr:col>
      <xdr:colOff>581025</xdr:colOff>
      <xdr:row>22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114300</xdr:colOff>
      <xdr:row>23</xdr:row>
      <xdr:rowOff>0</xdr:rowOff>
    </xdr:from>
    <xdr:to>
      <xdr:col>16</xdr:col>
      <xdr:colOff>571500</xdr:colOff>
      <xdr:row>41</xdr:row>
      <xdr:rowOff>142875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 flipH="1" flipV="1">
          <a:off x="0" y="0"/>
          <a:ext cx="0" cy="19050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D" refreshedDate="46195.40578090278" createdVersion="3" refreshedVersion="3" minRefreshableVersion="3" recordCount="517">
  <cacheSource type="worksheet">
    <worksheetSource ref="A1:F1048576" sheet="Raw_Data"/>
  </cacheSource>
  <cacheFields count="6">
    <cacheField name="Batsman" numFmtId="0">
      <sharedItems containsBlank="1" count="517">
        <s v="V Kohli"/>
        <s v="SK Raina"/>
        <s v="RG Sharma"/>
        <s v="DA Warner"/>
        <s v="S Dhawan"/>
        <s v="CH Gayle"/>
        <s v="MS Dhoni"/>
        <s v="RV Uthappa"/>
        <s v="AB de Villiers"/>
        <s v="G Gambhir"/>
        <s v="AM Rahane"/>
        <s v="KD Karthik"/>
        <s v="SR Watson"/>
        <s v="AT Rayudu"/>
        <s v="YK Pathan"/>
        <s v="BB McCullum"/>
        <s v="PA Patel"/>
        <s v="MK Pandey"/>
        <s v="KA Pollard"/>
        <s v="Yuvraj Singh"/>
        <s v="V Sehwag"/>
        <s v="M Vijay"/>
        <s v="SE Marsh"/>
        <s v="JH Kallis"/>
        <s v="DR Smith"/>
        <s v="SR Tendulkar"/>
        <s v="SV Samson"/>
        <s v="R Dravid"/>
        <s v="AC Gilchrist"/>
        <s v="SPD Smith"/>
        <s v="JP Duminy"/>
        <s v="KL Rahul"/>
        <s v="MEK Hussey"/>
        <s v="RA Jadeja"/>
        <s v="F du Plessis"/>
        <s v="DA Miller"/>
        <s v="DPMD Jayawardene"/>
        <s v="WP Saha"/>
        <s v="RR Pant"/>
        <s v="AJ Finch"/>
        <s v="MK Tiwary"/>
        <s v="SS Iyer"/>
        <s v="KC Sangakkara"/>
        <s v="NV Ojha"/>
        <s v="Mandeep Singh"/>
        <s v="DJ Bravo"/>
        <s v="Q de Kock"/>
        <s v="KK Nair"/>
        <s v="S Badrinath"/>
        <s v="AD Russell"/>
        <s v="GJ Maxwell"/>
        <s v="BJ Hodge"/>
        <s v="JC Buttler"/>
        <s v="SC Ganguly"/>
        <s v="DJ Hussey"/>
        <s v="KS Williamson"/>
        <s v="CA Lynn"/>
        <s v="SS Tiwary"/>
        <s v="MA Agarwal"/>
        <s v="TM Dilshan"/>
        <s v="IK Pathan"/>
        <s v="ML Hayden"/>
        <s v="N Rana"/>
        <s v="KM Jadhav"/>
        <s v="HH Pandya"/>
        <s v="LMP Simmons"/>
        <s v="LRPL Taylor"/>
        <s v="M Vohra"/>
        <s v="KP Pietersen"/>
        <s v="AS Yadav"/>
        <s v="Y Venugopal Rao"/>
        <s v="JA Morkel"/>
        <s v="A Symonds"/>
        <s v="CL White"/>
        <s v="MC Henriques"/>
        <s v="KH Pandya"/>
        <s v="HH Gibbs"/>
        <s v="STR Binny"/>
        <s v="EJG Morgan"/>
        <s v="Harbhajan Singh"/>
        <s v="AR Patel"/>
        <s v="MS Bisla"/>
        <s v="SP Narine"/>
        <s v="ST Jayasuriya"/>
        <s v="RA Tripathi"/>
        <s v="Shakib Al Hasan"/>
        <s v="GC Smith"/>
        <s v="AD Mathews"/>
        <s v="Ishan Kishan"/>
        <s v="TL Suman"/>
        <s v="AM Nayar"/>
        <s v="GJ Bailey"/>
        <s v="BA Stokes"/>
        <s v="SA Yadav"/>
        <s v="JD Ryder"/>
        <s v="P Shaw"/>
        <s v="PP Chawla"/>
        <s v="HM Amla"/>
        <s v="V Shankar"/>
        <s v="CJ Anderson"/>
        <s v="RS Bopara"/>
        <s v="JP Faulkner"/>
        <s v="DJ Hooda"/>
        <s v="CH Morris"/>
        <s v="M Manhas"/>
        <s v="S Gill"/>
        <s v="OA Shah"/>
        <s v="PC Valthaty"/>
        <s v="MP Stoinis"/>
        <s v="J Bairstow"/>
        <s v="DT Christian"/>
        <s v="Gurkeerat Singh"/>
        <s v="E Lewis"/>
        <s v="NLTC Perera"/>
        <s v="SA Asnodkar"/>
        <s v="JR Hopes"/>
        <s v="SN Khan"/>
        <s v="J Botha"/>
        <s v="LR Shukla"/>
        <s v="AL Menaria"/>
        <s v="MV Boucher"/>
        <s v="CA Pujara"/>
        <s v="Azhar Mahmood"/>
        <s v="R Ashwin"/>
        <s v="DB Ravi Teja"/>
        <s v="S Sohal"/>
        <s v="A Mishra"/>
        <s v="P Negi"/>
        <s v="R Bhatia"/>
        <s v="P Kumar"/>
        <s v="AP Tare"/>
        <s v="SW Billings"/>
        <s v="JEC Franklin"/>
        <s v="RN ten Doeschate"/>
        <s v="KV Sharma"/>
        <s v="R Vinay Kumar"/>
        <s v="DB Das"/>
        <s v="C de Grandhomme"/>
        <s v="M Ali"/>
        <s v="LA Pomersbach"/>
        <s v="UBT Chand"/>
        <s v="SP Goswami"/>
        <s v="DJG Sammy"/>
        <s v="Y Nagar"/>
        <s v="VVS Laxman"/>
        <s v="GH Vihari"/>
        <s v="A Ashish Reddy"/>
        <s v="B Chipli"/>
        <s v="MJ Lumb"/>
        <s v="MJ Guptill"/>
        <s v="R Sathish"/>
        <s v="M Kaif"/>
        <s v="SM Katich"/>
        <s v="BCJ Cutting"/>
        <s v="MD Mishra"/>
        <s v="MR Marsh"/>
        <s v="K Goel"/>
        <s v="AA Jhunjhunwala"/>
        <s v="TM Head"/>
        <s v="PD Collingwood"/>
        <s v="SK Warne"/>
        <s v="SP Fleming"/>
        <s v="AS Raut"/>
        <s v="BJ Rohrer"/>
        <s v="Salman Butt"/>
        <s v="YV Takawale"/>
        <s v="Bipul Sharma"/>
        <s v="C Ingram"/>
        <s v="B Kumar"/>
        <s v="FY Fazal"/>
        <s v="JJ Roy"/>
        <s v="CR Brathwaite"/>
        <s v="AC Voges"/>
        <s v="AB Agarkar"/>
        <s v="C Munro"/>
        <s v="MF Maharoof"/>
        <s v="DH Yagnik"/>
        <s v="N Pooran"/>
        <s v="CM Gautam"/>
        <s v="MG Johnson"/>
        <s v="MN van Wyk"/>
        <s v="DW Steyn"/>
        <s v="PA Reddy"/>
        <s v="R Parag"/>
        <s v="MN Samuels"/>
        <s v="Ankit Sharma"/>
        <s v="RE van der Merwe"/>
        <s v="R McLaren"/>
        <s v="R Dhawan"/>
        <s v="A Hales"/>
        <s v="SM Pollock"/>
        <s v="S Vidyut"/>
        <s v="K Gowtham"/>
        <s v="Mohammad Nabi"/>
        <s v="N Saini"/>
        <s v="Sachin Baby"/>
        <s v="S Anirudha"/>
        <s v="SB Styris"/>
        <s v="W Jaffer"/>
        <s v="S Gopal"/>
        <s v="Kamran Akmal"/>
        <s v="D Wiese"/>
        <s v="P Dogra"/>
        <s v="UT Khawaja"/>
        <s v="M Morkel"/>
        <s v="MC Juneja"/>
        <s v="BB Samantray"/>
        <s v="B Lee"/>
        <s v="MM Sharma"/>
        <s v="AB McDonald"/>
        <s v="UT Yadav"/>
        <s v="Niraj Patel"/>
        <s v="DL Vettori"/>
        <s v="AC Blizzard"/>
        <s v="RJ Harris"/>
        <s v="Misbah-ul-Haq"/>
        <s v="Z Khan"/>
        <s v="D Short"/>
        <s v="KK Cooper"/>
        <s v="TG Southee"/>
        <s v="R Tewatia"/>
        <s v="M Kartik"/>
        <s v="DJ Harris"/>
        <s v="HV Patel"/>
        <s v="JDP Oram"/>
        <s v="LJ Wright"/>
        <s v="Rashid Khan"/>
        <s v="RJ Quiney"/>
        <s v="DS Kulkarni"/>
        <s v="MS Gony"/>
        <s v="SD Chitnis"/>
        <s v="MJ Clarke"/>
        <s v="CJ Ferguson"/>
        <s v="MA Starc"/>
        <s v="S Curran"/>
        <s v="AJ Tye"/>
        <s v="PR Shah"/>
        <s v="DJ Jacobs"/>
        <s v="S Rana"/>
        <s v="RT Ponting"/>
        <s v="AD Nath"/>
        <s v="S Hetmyer"/>
        <s v="MJ McClenaghan"/>
        <s v="Iqbal Abdulla"/>
        <s v="SL Malinga"/>
        <s v="AP Majumdar"/>
        <s v="J Archer"/>
        <s v="RE Levi"/>
        <s v="LA Carseldine"/>
        <s v="WPUJC Vaas"/>
        <s v="Shahid Afridi"/>
        <s v="AD Mascarenhas"/>
        <s v="PJ Cummins"/>
        <s v="S Rutherford"/>
        <s v="B Akhil"/>
        <s v="IR Jaggi"/>
        <s v="TR Birt"/>
        <s v="Washington Sundar"/>
        <s v="M Klinger"/>
        <s v="RR Sarwan"/>
        <s v="L Livingstone"/>
        <s v="DL Chahar"/>
        <s v="K Rabada"/>
        <s v="AA Bilakhia"/>
        <s v="H Klaasen"/>
        <s v="RR Powar"/>
        <s v="R Singh"/>
        <s v="R Sharma"/>
        <s v="Mohammad Hafeez"/>
        <s v="CR Woakes"/>
        <s v="WD Parnell"/>
        <s v="Anirudh Singh"/>
        <s v="A Flintoff"/>
        <s v="S Aravind"/>
        <s v="WA Mota"/>
        <s v="JD Unadkat"/>
        <s v="M Rawat"/>
        <s v="I Sharma"/>
        <s v="J Suchith"/>
        <s v="Mohammed Shami"/>
        <s v="A Chopra"/>
        <s v="RR Rossouw"/>
        <s v="RP Singh"/>
        <s v="NM Coulter-Nile"/>
        <s v="Shoaib Malik"/>
        <s v="KB Arun Karthik"/>
        <s v="R Rampaul"/>
        <s v="RV Gomez"/>
        <s v="SB Bangar"/>
        <s v="VR Aaron"/>
        <s v="AG Paunikar"/>
        <s v="Yashpal Singh"/>
        <s v="Kuldeep Yadav"/>
        <s v="Sunny Singh"/>
        <s v="AB Barath"/>
        <s v="SK Trivedi"/>
        <s v="JDS Neesham"/>
        <s v="A Nehra"/>
        <s v="LPC Silva"/>
        <s v="S Dube"/>
        <s v="BR Dunk"/>
        <s v="Umar Gul"/>
        <s v="AUK Pathan"/>
        <s v="DJ Thornely"/>
        <s v="MM Patel"/>
        <s v="SP Jackson"/>
        <s v="JO Holder"/>
        <s v="Anureet Singh"/>
        <s v="S Narwal"/>
        <s v="JJ Bumrah"/>
        <s v="Sohail Tanvir"/>
        <s v="L Balaji"/>
        <s v="KW Richardson"/>
        <s v="Joginder Sharma"/>
        <s v="AN Ahmed"/>
        <s v="SN Thakur"/>
        <s v="A Kumble"/>
        <s v="B Sumanth"/>
        <s v="S Sreesanth"/>
        <s v="AP Dole"/>
        <s v="A Mithun"/>
        <s v="L Ronchi"/>
        <s v="M Santner"/>
        <s v="D Salunkhe"/>
        <s v="Basil Thampi"/>
        <s v="RJ Peterson"/>
        <s v="Mohammed Siraj"/>
        <s v="S Nadeem"/>
        <s v="S Sriram"/>
        <s v="T Taibu"/>
        <s v="M Markande"/>
        <s v="J Syed Mohammad"/>
        <s v="VH Zol"/>
        <s v="SB Jakati"/>
        <s v="M Lomror"/>
        <s v="JM Kemp"/>
        <s v="NL McCullum"/>
        <s v="AB Dinda"/>
        <s v="Sandeep Sharma"/>
        <s v="A Choudhary"/>
        <s v="S Chanderpaul"/>
        <s v="KC Cariappa"/>
        <s v="MA Khote"/>
        <s v="ER Dwivedi"/>
        <s v="PJ Sangwan"/>
        <s v="BMAJ Mendis"/>
        <s v="T Curran"/>
        <s v="J Arunkumar"/>
        <s v="NS Naik"/>
        <s v="SW Tait"/>
        <s v="MS Wade"/>
        <s v="GB Hogg"/>
        <s v="YS Chahal"/>
        <s v="CA Ingram"/>
        <s v="DE Bollinger"/>
        <s v="RR Raje"/>
        <s v="M Muralitharan"/>
        <s v="K Paul"/>
        <s v="AC Thomas"/>
        <s v="H Brar"/>
        <s v="Imran Tahir"/>
        <s v="NJ Maddinson"/>
        <s v="Harpreet Singh"/>
        <s v="R Shukla"/>
        <s v="DR Martyn"/>
        <s v="R Bishnoi"/>
        <s v="P Sahu"/>
        <s v="A Mukund"/>
        <s v="Y Gnaneswara Rao"/>
        <s v="P R Barman"/>
        <s v="Vishnu Vinod"/>
        <s v="JJ van der Wath"/>
        <s v="Harmeet Singh"/>
        <s v="BJ Haddin"/>
        <s v="PV Tambe"/>
        <s v="DS Lehmann"/>
        <s v="Parvez Rasool"/>
        <s v="AS Rajpoot"/>
        <s v="PP Ojha"/>
        <s v="CK Kapugedera"/>
        <s v="S Singh"/>
        <s v="SA Abbott"/>
        <s v="C Madan"/>
        <s v="GR Napier"/>
        <s v="VY Mahesh"/>
        <s v="RD Chahar"/>
        <s v="A Joseph"/>
        <s v="SD Lad"/>
        <s v="F Behardien"/>
        <s v="MDKJ Perera"/>
        <s v="S Badree"/>
        <s v="S Mavi"/>
        <s v="DT Patil"/>
        <s v="KJ Abbott"/>
        <s v="D Shorey"/>
        <s v="Swapnil Singh"/>
        <s v="T Thushara"/>
        <s v="TA Boult"/>
        <s v="DAJ Bracewell"/>
        <s v="M Ur Rahman"/>
        <s v="AR Bawne"/>
        <s v="AA Chavan"/>
        <s v="Karanveer Singh"/>
        <s v="K Upadhyay"/>
        <s v="S Kaul"/>
        <s v="M Ntini"/>
        <s v="BB Sran"/>
        <s v="T Henderson"/>
        <s v="T Kohli"/>
        <s v="DNT Zoysa"/>
        <s v="X Thalaivan Sargunam"/>
        <s v="J Theron"/>
        <s v="AG Murtaza"/>
        <s v="TD Paine"/>
        <s v="KAJ Roach"/>
        <s v="SMSM Senanayake"/>
        <s v="D du Preez"/>
        <s v="AA Noffke"/>
        <s v="SM Harwood"/>
        <s v="Jaskaran Singh"/>
        <s v="CJ McKay"/>
        <s v="J Searles"/>
        <s v="TS Mills"/>
        <s v="P Chopra"/>
        <s v="TM Srivastava"/>
        <s v="CK Langeveldt"/>
        <s v="UA Birla"/>
        <s v="VS Malik"/>
        <s v="Pankaj Singh"/>
        <s v="AF Milne"/>
        <s v="N Naik"/>
        <s v="AN Ghosh"/>
        <s v="Ankit Soni"/>
        <s v="I Malhotra"/>
        <s v="R Bhui"/>
        <s v="I Sodhi"/>
        <s v="DM Bravo"/>
        <s v="SS Shaikh"/>
        <s v="SB Joshi"/>
        <s v="J Yadav"/>
        <s v="BA Bhatt"/>
        <s v="S Sharma"/>
        <s v="PSP Handscomb"/>
        <s v="B Stanlake"/>
        <s v="A Zampa"/>
        <s v="R Salam"/>
        <s v="Shivam Sharma"/>
        <s v="SJ Srivastava"/>
        <s v="P Awana"/>
        <s v="KMDN Kulasekara"/>
        <s v="B Laughlin"/>
        <s v="DP Nannes"/>
        <s v="A Uniyal"/>
        <s v="FH Edwards"/>
        <s v="A Chandila"/>
        <s v="A Dananjaya"/>
        <s v="CRD Fernando"/>
        <s v="GD McGrath"/>
        <s v="M Ashwin"/>
        <s v="H Vihari"/>
        <s v="Avesh Khan"/>
        <s v="RS Sodhi"/>
        <s v="VRV Singh"/>
        <s v="CJ Jordan"/>
        <s v="S Tyagi"/>
        <s v="A Turner"/>
        <s v="R Ninan"/>
        <s v="D Kalyankrishna"/>
        <s v="JE Taylor"/>
        <s v="H Viljoen"/>
        <s v="BAW Mendis"/>
        <s v="Mohammad Asif"/>
        <s v="Kamran Khan"/>
        <s v="Younis Khan"/>
        <s v="KP Appanna"/>
        <s v="RS Gavaskar"/>
        <s v="SB Wagh"/>
        <s v="Mohammad Ashraful"/>
        <s v="Mashrafe Mortaza"/>
        <s v="S Randiv"/>
        <s v="Shoaib Akhtar"/>
        <s v="RG More"/>
        <s v="A Singh"/>
        <s v="VS Yeligati"/>
        <s v="H Das"/>
        <s v="SE Bond"/>
        <s v="PM Sarvesh Kumar"/>
        <s v="Shoaib Ahmed"/>
        <s v="Mustafizur Rahman"/>
        <s v="LH Ferguson"/>
        <s v="H Gurney"/>
        <s v="L Plunkett"/>
        <s v="BE Hendricks"/>
        <s v="P Parameswaran"/>
        <s v="DP Vijaykumar"/>
        <s v="DJ Muthuswami"/>
        <s v="M Wood"/>
        <s v="NJ Rimmington"/>
        <s v="P Krishna"/>
        <s v="M de Lange"/>
        <s v="K Ahmed"/>
        <s v="C Nanda"/>
        <s v="YA Abdulla"/>
        <s v="U Kaul"/>
        <s v="P Raj"/>
        <s v="S Lamichhane"/>
        <s v="RR Bhatkal"/>
        <s v="IC Pandey"/>
        <s v="L Ablish"/>
        <s v="Abdur Razzak"/>
        <s v="Sunny Gupta"/>
        <s v="ND Doshi"/>
        <s v="J Denly"/>
        <s v="S Ladda"/>
        <s v="V Pratap Singh"/>
        <s v="S Kaushik"/>
        <m/>
      </sharedItems>
    </cacheField>
    <cacheField name="Total_runs" numFmtId="0">
      <sharedItems containsString="0" containsBlank="1" containsNumber="1" containsInteger="1" minValue="0" maxValue="5426" count="284">
        <n v="5426"/>
        <n v="5386"/>
        <n v="4902"/>
        <n v="4717"/>
        <n v="4601"/>
        <n v="4525"/>
        <n v="4450"/>
        <n v="4420"/>
        <n v="4414"/>
        <n v="4219"/>
        <n v="3834"/>
        <n v="3669"/>
        <n v="3590"/>
        <n v="3313"/>
        <n v="3222"/>
        <n v="2886"/>
        <n v="2864"/>
        <n v="2855"/>
        <n v="2772"/>
        <n v="2755"/>
        <n v="2728"/>
        <n v="2589"/>
        <n v="2489"/>
        <n v="2427"/>
        <n v="2385"/>
        <n v="2334"/>
        <n v="2215"/>
        <n v="2174"/>
        <n v="2069"/>
        <n v="2038"/>
        <n v="2031"/>
        <n v="1988"/>
        <n v="1977"/>
        <n v="1931"/>
        <n v="1861"/>
        <n v="1858"/>
        <n v="1808"/>
        <n v="1767"/>
        <n v="1741"/>
        <n v="1696"/>
        <n v="1695"/>
        <n v="1687"/>
        <n v="1555"/>
        <n v="1535"/>
        <n v="1494"/>
        <n v="1478"/>
        <n v="1465"/>
        <n v="1441"/>
        <n v="1415"/>
        <n v="1401"/>
        <n v="1400"/>
        <n v="1396"/>
        <n v="1349"/>
        <n v="1322"/>
        <n v="1309"/>
        <n v="1288"/>
        <n v="1276"/>
        <n v="1269"/>
        <n v="1153"/>
        <n v="1150"/>
        <n v="1107"/>
        <n v="1093"/>
        <n v="1087"/>
        <n v="1082"/>
        <n v="1079"/>
        <n v="1017"/>
        <n v="1013"/>
        <n v="1001"/>
        <n v="995"/>
        <n v="985"/>
        <n v="975"/>
        <n v="974"/>
        <n v="971"/>
        <n v="969"/>
        <n v="897"/>
        <n v="886"/>
        <n v="880"/>
        <n v="854"/>
        <n v="831"/>
        <n v="800"/>
        <n v="798"/>
        <n v="785"/>
        <n v="768"/>
        <n v="761"/>
        <n v="750"/>
        <n v="739"/>
        <n v="724"/>
        <n v="701"/>
        <n v="676"/>
        <n v="672"/>
        <n v="663"/>
        <n v="641"/>
        <n v="608"/>
        <n v="604"/>
        <n v="584"/>
        <n v="577"/>
        <n v="563"/>
        <n v="538"/>
        <n v="531"/>
        <n v="527"/>
        <n v="526"/>
        <n v="519"/>
        <n v="514"/>
        <n v="510"/>
        <n v="506"/>
        <n v="505"/>
        <n v="476"/>
        <n v="459"/>
        <n v="448"/>
        <n v="443"/>
        <n v="437"/>
        <n v="424"/>
        <n v="423"/>
        <n v="417"/>
        <n v="412"/>
        <n v="409"/>
        <n v="405"/>
        <n v="401"/>
        <n v="394"/>
        <n v="390"/>
        <n v="388"/>
        <n v="376"/>
        <n v="375"/>
        <n v="368"/>
        <n v="366"/>
        <n v="365"/>
        <n v="342"/>
        <n v="340"/>
        <n v="339"/>
        <n v="337"/>
        <n v="327"/>
        <n v="326"/>
        <n v="317"/>
        <n v="310"/>
        <n v="304"/>
        <n v="302"/>
        <n v="300"/>
        <n v="295"/>
        <n v="285"/>
        <n v="282"/>
        <n v="280"/>
        <n v="278"/>
        <n v="271"/>
        <n v="270"/>
        <n v="259"/>
        <n v="241"/>
        <n v="239"/>
        <n v="237"/>
        <n v="225"/>
        <n v="218"/>
        <n v="217"/>
        <n v="205"/>
        <n v="203"/>
        <n v="198"/>
        <n v="196"/>
        <n v="194"/>
        <n v="193"/>
        <n v="192"/>
        <n v="187"/>
        <n v="184"/>
        <n v="183"/>
        <n v="182"/>
        <n v="181"/>
        <n v="179"/>
        <n v="178"/>
        <n v="177"/>
        <n v="170"/>
        <n v="169"/>
        <n v="168"/>
        <n v="167"/>
        <n v="166"/>
        <n v="164"/>
        <n v="161"/>
        <n v="160"/>
        <n v="159"/>
        <n v="153"/>
        <n v="150"/>
        <n v="147"/>
        <n v="145"/>
        <n v="142"/>
        <n v="137"/>
        <n v="136"/>
        <n v="131"/>
        <n v="130"/>
        <n v="129"/>
        <n v="128"/>
        <n v="127"/>
        <n v="126"/>
        <n v="125"/>
        <n v="124"/>
        <n v="123"/>
        <n v="122"/>
        <n v="121"/>
        <n v="120"/>
        <n v="117"/>
        <n v="116"/>
        <n v="115"/>
        <n v="113"/>
        <n v="111"/>
        <n v="107"/>
        <n v="106"/>
        <n v="105"/>
        <n v="103"/>
        <n v="101"/>
        <n v="99"/>
        <n v="98"/>
        <n v="96"/>
        <n v="95"/>
        <n v="92"/>
        <n v="91"/>
        <n v="90"/>
        <n v="88"/>
        <n v="87"/>
        <n v="84"/>
        <n v="83"/>
        <n v="81"/>
        <n v="79"/>
        <n v="77"/>
        <n v="76"/>
        <n v="75"/>
        <n v="73"/>
        <n v="71"/>
        <n v="70"/>
        <n v="69"/>
        <n v="67"/>
        <n v="66"/>
        <n v="64"/>
        <n v="63"/>
        <n v="62"/>
        <n v="59"/>
        <n v="56"/>
        <n v="55"/>
        <n v="54"/>
        <n v="53"/>
        <n v="52"/>
        <n v="51"/>
        <n v="50"/>
        <n v="49"/>
        <n v="47"/>
        <n v="45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  <m/>
      </sharedItems>
    </cacheField>
    <cacheField name="out" numFmtId="0">
      <sharedItems containsString="0" containsBlank="1" containsNumber="1" containsInteger="1" minValue="0" maxValue="161" count="90">
        <n v="152"/>
        <n v="160"/>
        <n v="161"/>
        <n v="114"/>
        <n v="137"/>
        <n v="110"/>
        <n v="118"/>
        <n v="156"/>
        <n v="104"/>
        <n v="134"/>
        <n v="117"/>
        <n v="138"/>
        <n v="115"/>
        <n v="106"/>
        <n v="127"/>
        <n v="95"/>
        <n v="102"/>
        <n v="109"/>
        <n v="98"/>
        <n v="93"/>
        <n v="65"/>
        <n v="89"/>
        <n v="81"/>
        <n v="71"/>
        <n v="79"/>
        <n v="77"/>
        <n v="76"/>
        <n v="59"/>
        <n v="49"/>
        <n v="52"/>
        <n v="83"/>
        <n v="56"/>
        <n v="54"/>
        <n v="64"/>
        <n v="74"/>
        <n v="66"/>
        <n v="60"/>
        <n v="57"/>
        <n v="69"/>
        <n v="63"/>
        <n v="46"/>
        <n v="61"/>
        <n v="48"/>
        <n v="41"/>
        <n v="62"/>
        <n v="37"/>
        <n v="34"/>
        <n v="42"/>
        <n v="67"/>
        <n v="27"/>
        <n v="40"/>
        <n v="38"/>
        <n v="28"/>
        <n v="35"/>
        <n v="26"/>
        <n v="32"/>
        <n v="44"/>
        <n v="43"/>
        <n v="29"/>
        <n v="30"/>
        <n v="31"/>
        <n v="39"/>
        <n v="24"/>
        <n v="50"/>
        <n v="13"/>
        <n v="17"/>
        <n v="22"/>
        <n v="19"/>
        <n v="33"/>
        <n v="20"/>
        <n v="14"/>
        <n v="15"/>
        <n v="8"/>
        <n v="16"/>
        <n v="18"/>
        <n v="11"/>
        <n v="21"/>
        <n v="12"/>
        <n v="10"/>
        <n v="6"/>
        <n v="4"/>
        <n v="9"/>
        <n v="7"/>
        <n v="23"/>
        <n v="5"/>
        <n v="3"/>
        <n v="1"/>
        <n v="2"/>
        <n v="0"/>
        <m/>
      </sharedItems>
    </cacheField>
    <cacheField name="Number of balls" numFmtId="0">
      <sharedItems containsString="0" containsBlank="1" containsNumber="1" containsInteger="1" minValue="1" maxValue="4111" count="267">
        <n v="4111"/>
        <n v="3916"/>
        <n v="3742"/>
        <n v="3292"/>
        <n v="3665"/>
        <n v="2972"/>
        <n v="3206"/>
        <n v="3381"/>
        <n v="2902"/>
        <n v="3400"/>
        <n v="3133"/>
        <n v="2813"/>
        <n v="2566"/>
        <n v="2616"/>
        <n v="2240"/>
        <n v="2185"/>
        <n v="2352"/>
        <n v="1879"/>
        <n v="2121"/>
        <n v="1746"/>
        <n v="2104"/>
        <n v="1866"/>
        <n v="2219"/>
        <n v="1758"/>
        <n v="1943"/>
        <n v="1693"/>
        <n v="1877"/>
        <n v="1492"/>
        <n v="1570"/>
        <n v="1633"/>
        <n v="1428"/>
        <n v="1608"/>
        <n v="1567"/>
        <n v="1459"/>
        <n v="1327"/>
        <n v="1460"/>
        <n v="1340"/>
        <n v="1071"/>
        <n v="1332"/>
        <n v="1446"/>
        <n v="1321"/>
        <n v="1387"/>
        <n v="1308"/>
        <n v="1227"/>
        <n v="1155"/>
        <n v="1109"/>
        <n v="1137"/>
        <n v="1210"/>
        <n v="752"/>
        <n v="864"/>
        <n v="1117"/>
        <n v="919"/>
        <n v="1261"/>
        <n v="1069"/>
        <n v="964"/>
        <n v="909"/>
        <n v="1064"/>
        <n v="988"/>
        <n v="1006"/>
        <n v="948"/>
        <n v="802"/>
        <n v="808"/>
        <n v="851"/>
        <n v="689"/>
        <n v="818"/>
        <n v="767"/>
        <n v="740"/>
        <n v="746"/>
        <n v="834"/>
        <n v="682"/>
        <n v="748"/>
        <n v="760"/>
        <n v="756"/>
        <n v="609"/>
        <n v="683"/>
        <n v="702"/>
        <n v="597"/>
        <n v="628"/>
        <n v="697"/>
        <n v="458"/>
        <n v="531"/>
        <n v="553"/>
        <n v="588"/>
        <n v="666"/>
        <n v="573"/>
        <n v="574"/>
        <n v="543"/>
        <n v="481"/>
        <n v="465"/>
        <n v="456"/>
        <n v="423"/>
        <n v="519"/>
        <n v="407"/>
        <n v="416"/>
        <n v="452"/>
        <n v="387"/>
        <n v="413"/>
        <n v="327"/>
        <n v="469"/>
        <n v="377"/>
        <n v="386"/>
        <n v="415"/>
        <n v="362"/>
        <n v="284"/>
        <n v="373"/>
        <n v="342"/>
        <n v="305"/>
        <n v="339"/>
        <n v="285"/>
        <n v="358"/>
        <n v="346"/>
        <n v="356"/>
        <n v="308"/>
        <n v="391"/>
        <n v="302"/>
        <n v="336"/>
        <n v="317"/>
        <n v="290"/>
        <n v="385"/>
        <n v="288"/>
        <n v="314"/>
        <n v="273"/>
        <n v="250"/>
        <n v="300"/>
        <n v="234"/>
        <n v="270"/>
        <n v="271"/>
        <n v="260"/>
        <n v="223"/>
        <n v="177"/>
        <n v="244"/>
        <n v="241"/>
        <n v="257"/>
        <n v="266"/>
        <n v="312"/>
        <n v="191"/>
        <n v="193"/>
        <n v="196"/>
        <n v="231"/>
        <n v="249"/>
        <n v="184"/>
        <n v="141"/>
        <n v="208"/>
        <n v="230"/>
        <n v="210"/>
        <n v="148"/>
        <n v="156"/>
        <n v="213"/>
        <n v="165"/>
        <n v="167"/>
        <n v="161"/>
        <n v="178"/>
        <n v="121"/>
        <n v="154"/>
        <n v="189"/>
        <n v="172"/>
        <n v="135"/>
        <n v="110"/>
        <n v="142"/>
        <n v="152"/>
        <n v="122"/>
        <n v="106"/>
        <n v="132"/>
        <n v="157"/>
        <n v="160"/>
        <n v="126"/>
        <n v="171"/>
        <n v="108"/>
        <n v="169"/>
        <n v="118"/>
        <n v="111"/>
        <n v="83"/>
        <n v="91"/>
        <n v="144"/>
        <n v="101"/>
        <n v="133"/>
        <n v="78"/>
        <n v="90"/>
        <n v="138"/>
        <n v="100"/>
        <n v="127"/>
        <n v="113"/>
        <n v="96"/>
        <n v="117"/>
        <n v="99"/>
        <n v="124"/>
        <n v="109"/>
        <n v="89"/>
        <n v="81"/>
        <n v="68"/>
        <n v="60"/>
        <n v="63"/>
        <n v="102"/>
        <n v="70"/>
        <n v="94"/>
        <n v="116"/>
        <n v="98"/>
        <n v="55"/>
        <n v="97"/>
        <n v="73"/>
        <n v="76"/>
        <n v="61"/>
        <n v="46"/>
        <n v="53"/>
        <n v="58"/>
        <n v="50"/>
        <n v="77"/>
        <n v="75"/>
        <n v="47"/>
        <n v="44"/>
        <n v="85"/>
        <n v="57"/>
        <n v="65"/>
        <n v="82"/>
        <n v="66"/>
        <n v="56"/>
        <n v="69"/>
        <n v="52"/>
        <n v="71"/>
        <n v="51"/>
        <n v="72"/>
        <n v="49"/>
        <n v="62"/>
        <n v="54"/>
        <n v="31"/>
        <n v="42"/>
        <n v="59"/>
        <n v="25"/>
        <n v="33"/>
        <n v="35"/>
        <n v="19"/>
        <n v="23"/>
        <n v="41"/>
        <n v="27"/>
        <n v="38"/>
        <n v="29"/>
        <n v="39"/>
        <n v="30"/>
        <n v="26"/>
        <n v="21"/>
        <n v="37"/>
        <n v="22"/>
        <n v="34"/>
        <n v="24"/>
        <n v="36"/>
        <n v="20"/>
        <n v="14"/>
        <n v="48"/>
        <n v="18"/>
        <n v="12"/>
        <n v="17"/>
        <n v="13"/>
        <n v="16"/>
        <n v="11"/>
        <n v="15"/>
        <n v="8"/>
        <n v="9"/>
        <n v="28"/>
        <n v="10"/>
        <n v="6"/>
        <n v="7"/>
        <n v="4"/>
        <n v="5"/>
        <n v="3"/>
        <n v="2"/>
        <n v="1"/>
        <m/>
      </sharedItems>
    </cacheField>
    <cacheField name="Average" numFmtId="0">
      <sharedItems containsString="0" containsBlank="1" containsNumber="1" minValue="0" maxValue="88" count="324">
        <n v="35.697368421052602"/>
        <n v="33.662500000000001"/>
        <n v="30.447204968944099"/>
        <n v="41.377192982456101"/>
        <n v="33.583941605839399"/>
        <n v="41.136363636363598"/>
        <n v="37.711864406779597"/>
        <n v="28.3333333333333"/>
        <n v="42.442307692307601"/>
        <n v="31.4850746268656"/>
        <n v="32.769230769230703"/>
        <n v="26.586956521739101"/>
        <n v="31.2173913043478"/>
        <n v="29.0614035087719"/>
        <n v="29.290909090909"/>
        <n v="27.2264150943396"/>
        <n v="22.5511811023622"/>
        <n v="30.052631578947299"/>
        <n v="27.176470588235201"/>
        <n v="25.2752293577981"/>
        <n v="27.836734693877499"/>
        <n v="27.838709677419299"/>
        <n v="38.292307692307602"/>
        <n v="27.269662921348299"/>
        <n v="29.4444444444444"/>
        <n v="32.873239436619698"/>
        <n v="28.037974683544299"/>
        <n v="28.2337662337662"/>
        <n v="27.223684210526301"/>
        <n v="34.542372881355902"/>
        <n v="41.448979591836697"/>
        <n v="40.571428571428498"/>
        <n v="38.019230769230703"/>
        <n v="23.265060240963798"/>
        <n v="33.232142857142797"/>
        <n v="34.407407407407398"/>
        <n v="28.25"/>
        <n v="23.878378378378301"/>
        <n v="36.061224489795897"/>
        <n v="26.378787878787801"/>
        <n v="28.266666666666602"/>
        <n v="29.736842105263101"/>
        <n v="24.449275362318801"/>
        <n v="21.013513513513502"/>
        <n v="21.619718309859099"/>
        <n v="23.714285714285701"/>
        <n v="32.130434782608603"/>
        <n v="24.016393442622899"/>
        <n v="30.0208333333333"/>
        <n v="34.512195121951201"/>
        <n v="22.596774193548299"/>
        <n v="30.434782608695599"/>
        <n v="37.729729729729698"/>
        <n v="24.981481481481399"/>
        <n v="27.5416666666666"/>
        <n v="38.5"/>
        <n v="34.8108108108108"/>
        <n v="30.380952380952301"/>
        <n v="18.9402985074626"/>
        <n v="28.121951219512098"/>
        <n v="22.115384615384599"/>
        <n v="41"/>
        <n v="27.324999999999999"/>
        <n v="23.630434782608599"/>
        <n v="28.473684210526301"/>
        <n v="39.962962962962898"/>
        <n v="24.804878048780399"/>
        <n v="24.119047619047599"/>
        <n v="35.75"/>
        <n v="28.428571428571399"/>
        <n v="23.452380952380899"/>
        <n v="24.375"/>
        <n v="37.461538461538403"/>
        <n v="27.742857142857101"/>
        <n v="27.685714285714202"/>
        <n v="28.03125"/>
        <n v="27.6875"/>
        <n v="20"/>
        <n v="22.473684210526301"/>
        <n v="14.839285714285699"/>
        <n v="18.604651162790699"/>
        <n v="21.567567567567501"/>
        <n v="19.625"/>
        <n v="26.482758620689602"/>
        <n v="28.185185185185102"/>
        <n v="22.058823529411701"/>
        <n v="24.633333333333301"/>
        <n v="23.354838709677399"/>
        <n v="22.612903225806399"/>
        <n v="22.533333333333299"/>
        <n v="17.230769230769202"/>
        <n v="22.862068965517199"/>
        <n v="21.3666666666666"/>
        <n v="20.965517241379299"/>
        <n v="20.827586206896498"/>
        <n v="25.1666666666666"/>
        <n v="11.68"/>
        <n v="44.384615384615302"/>
        <n v="33.117647058823501"/>
        <n v="24.4545454545454"/>
        <n v="27.947368421052602"/>
        <n v="18.821428571428498"/>
        <n v="15.9393939393939"/>
        <n v="25.95"/>
        <n v="21.4166666666666"/>
        <n v="36.428571428571402"/>
        <n v="38.923076923076898"/>
        <n v="22.9545454545454"/>
        <n v="31.733333333333299"/>
        <n v="57.375"/>
        <n v="18.6666666666666"/>
        <n v="17.038461538461501"/>
        <n v="27.3125"/>
        <n v="17.6666666666666"/>
        <n v="22.2631578947368"/>
        <n v="24.529411764705799"/>
        <n v="22.8888888888888"/>
        <n v="18.590909090909001"/>
        <n v="13.965517241379301"/>
        <n v="18.227272727272702"/>
        <n v="26.266666666666602"/>
        <n v="21.6666666666666"/>
        <n v="20.421052631578899"/>
        <n v="11.3939393939393"/>
        <n v="18.75"/>
        <n v="20.4444444444444"/>
        <n v="12.6206896551724"/>
        <n v="14.038461538461499"/>
        <n v="11.793103448275801"/>
        <n v="10"/>
        <n v="14.125"/>
        <n v="17.736842105263101"/>
        <n v="29.727272727272702"/>
        <n v="19.176470588235201"/>
        <n v="15.095238095238001"/>
        <n v="11.9230769230769"/>
        <n v="25.3333333333333"/>
        <n v="20.266666666666602"/>
        <n v="30.2"/>
        <n v="27.4545454545454"/>
        <n v="15"/>
        <n v="16.3888888888888"/>
        <n v="19.6666666666666"/>
        <n v="19"/>
        <n v="17.625"/>
        <n v="15.5555555555555"/>
        <n v="17.5"/>
        <n v="27.8"/>
        <n v="22.5833333333333"/>
        <n v="16.875"/>
        <n v="16.1875"/>
        <n v="24.1"/>
        <n v="21.727272727272702"/>
        <n v="15.8"/>
        <n v="16.769230769230699"/>
        <n v="15.5"/>
        <n v="34.1666666666666"/>
        <n v="50.75"/>
        <n v="10.421052631578901"/>
        <n v="21.7777777777777"/>
        <n v="17.636363636363601"/>
        <n v="27.571428571428498"/>
        <n v="24"/>
        <n v="31.1666666666666"/>
        <n v="18.399999999999999"/>
        <n v="8"/>
        <n v="20.3333333333333"/>
        <n v="36.6"/>
        <n v="13"/>
        <n v="30.1666666666666"/>
        <n v="22.375"/>
        <n v="19.7777777777777"/>
        <n v="17.7"/>
        <n v="18.8888888888888"/>
        <n v="18.7777777777777"/>
        <n v="12"/>
        <n v="55.6666666666666"/>
        <n v="7.5454545454545396"/>
        <n v="16.399999999999999"/>
        <n v="40.25"/>
        <n v="13.4166666666666"/>
        <n v="16"/>
        <n v="14.4545454545454"/>
        <n v="19.875"/>
        <n v="21.857142857142801"/>
        <n v="25"/>
        <n v="18.375"/>
        <n v="18.125"/>
        <n v="12.0833333333333"/>
        <n v="17.75"/>
        <n v="11.8333333333333"/>
        <n v="15.2222222222222"/>
        <n v="17"/>
        <n v="18.714285714285701"/>
        <n v="18.571428571428498"/>
        <n v="16.125"/>
        <n v="32"/>
        <n v="25.4"/>
        <n v="10.5833333333333"/>
        <n v="11.4545454545454"/>
        <n v="17.857142857142801"/>
        <n v="12.4"/>
        <n v="8.7857142857142794"/>
        <n v="24.6"/>
        <n v="10.1666666666666"/>
        <n v="24.2"/>
        <n v="17.285714285714199"/>
        <n v="17.1428571428571"/>
        <n v="9.75"/>
        <n v="7.8"/>
        <n v="16.571428571428498"/>
        <n v="12.8888888888888"/>
        <n v="19.1666666666666"/>
        <n v="16.428571428571399"/>
        <n v="16.1428571428571"/>
        <n v="37"/>
        <n v="13.375"/>
        <n v="13.25"/>
        <n v="26.5"/>
        <n v="8.75"/>
        <n v="14.714285714285699"/>
        <n v="11.2222222222222"/>
        <n v="11"/>
        <n v="14.1428571428571"/>
        <n v="19.600000000000001"/>
        <n v="16.3333333333333"/>
        <n v="23.75"/>
        <n v="13.1428571428571"/>
        <n v="11.5"/>
        <n v="18.2"/>
        <n v="11.375"/>
        <n v="9"/>
        <n v="18"/>
        <n v="88"/>
        <n v="7.3333333333333304"/>
        <n v="21.75"/>
        <n v="13.8333333333333"/>
        <n v="27"/>
        <n v="11.5714285714285"/>
        <n v="10.125"/>
        <n v="7.9"/>
        <n v="12.8333333333333"/>
        <n v="15.4"/>
        <n v="10.857142857142801"/>
        <n v="15.2"/>
        <n v="12.5"/>
        <n v="18.25"/>
        <n v="24.3333333333333"/>
        <n v="23.6666666666666"/>
        <n v="11.6666666666666"/>
        <n v="13.8"/>
        <n v="13.4"/>
        <n v="22.3333333333333"/>
        <n v="6"/>
        <n v="12.6"/>
        <n v="7"/>
        <n v="15.75"/>
        <n v="31"/>
        <n v="11.2"/>
        <n v="7.8571428571428497"/>
        <n v="10.6"/>
        <n v="8.8333333333333304"/>
        <n v="3.4666666666666601"/>
        <n v="7.4285714285714199"/>
        <n v="10.199999999999999"/>
        <n v="7.1428571428571397"/>
        <n v="8.1666666666666607"/>
        <n v="9.8000000000000007"/>
        <n v="11.75"/>
        <n v="11.25"/>
        <n v="10.75"/>
        <n v="21"/>
        <n v="5.25"/>
        <n v="14"/>
        <n v="5.125"/>
        <n v="13.3333333333333"/>
        <n v="7.6"/>
        <n v="9.25"/>
        <n v="12.3333333333333"/>
        <n v="5.1428571428571397"/>
        <n v="36"/>
        <n v="35"/>
        <n v="11.3333333333333"/>
        <n v="6.8"/>
        <n v="33"/>
        <n v="10.6666666666666"/>
        <n v="2.2857142857142798"/>
        <n v="10.3333333333333"/>
        <n v="14.5"/>
        <n v="8.6666666666666607"/>
        <n v="2.88888888888888"/>
        <n v="8.3333333333333304"/>
        <n v="3.4285714285714199"/>
        <n v="7.6666666666666599"/>
        <n v="5.5"/>
        <n v="10.5"/>
        <n v="3.3333333333333299"/>
        <n v="5"/>
        <m/>
        <n v="6.6666666666666599"/>
        <n v="9.5"/>
        <n v="6.3333333333333304"/>
        <n v="8.5"/>
        <n v="5.6666666666666599"/>
        <n v="1.6"/>
        <n v="5.3333333333333304"/>
        <n v="7.5"/>
        <n v="2.6"/>
        <n v="4.3333333333333304"/>
        <n v="6.5"/>
        <n v="4"/>
        <n v="3.6666666666666599"/>
        <n v="2.6666666666666599"/>
        <n v="3.5"/>
        <n v="2.3333333333333299"/>
        <n v="3"/>
        <n v="2.5"/>
        <n v="1.6666666666666601"/>
        <n v="1.3333333333333299"/>
        <n v="2"/>
        <n v="1"/>
        <n v="1.5"/>
        <n v="0.5"/>
        <n v="0"/>
      </sharedItems>
    </cacheField>
    <cacheField name="Strikerate" numFmtId="0">
      <sharedItems containsString="0" containsBlank="1" containsNumber="1" minValue="0" maxValue="250" count="406">
        <n v="131.98735100948599"/>
        <n v="137.538304392236"/>
        <n v="130.99946552645599"/>
        <n v="143.28675577156699"/>
        <n v="125.538881309686"/>
        <n v="152.25437415881501"/>
        <n v="138.80224578914499"/>
        <n v="130.73055309080101"/>
        <n v="152.10199862164001"/>
        <n v="124.088235294117"/>
        <n v="122.374720714969"/>
        <n v="130.43014575186601"/>
        <n v="139.90646921278201"/>
        <n v="126.64373088684999"/>
        <n v="143.83928571428501"/>
        <n v="132.08237986270001"/>
        <n v="121.76870748299299"/>
        <n v="121.38605442176799"/>
        <n v="147.52527940393799"/>
        <n v="129.89156058462899"/>
        <n v="156.24284077892301"/>
        <n v="123.051330798479"/>
        <n v="133.386923901393"/>
        <n v="109.373591707976"/>
        <n v="135.665529010238"/>
        <n v="120.12352032938701"/>
        <n v="130.83284111045401"/>
        <n v="115.823122003196"/>
        <n v="138.67292225201001"/>
        <n v="129.80891719745199"/>
        <n v="124.372320881812"/>
        <n v="139.21568627450901"/>
        <n v="122.947761194029"/>
        <n v="123.229100191448"/>
        <n v="127.553118574366"/>
        <n v="140.015071590052"/>
        <n v="123.835616438356"/>
        <n v="131.86567164179101"/>
        <n v="164.98599439775899"/>
        <n v="130.70570570570499"/>
        <n v="117.28907330567"/>
        <n v="128.31188493565401"/>
        <n v="121.629416005767"/>
        <n v="118.883792048929"/>
        <n v="125.101874490627"/>
        <n v="129.35064935064901"/>
        <n v="133.273219116321"/>
        <n v="128.84784520668401"/>
        <n v="119.09090909090899"/>
        <n v="188.16489361702099"/>
        <n v="162.152777777777"/>
        <n v="125.335720680393"/>
        <n v="151.904243743199"/>
        <n v="106.978588421887"/>
        <n v="123.66697848456501"/>
        <n v="135.78838174273801"/>
        <n v="141.69416941694101"/>
        <n v="119.924812030075"/>
        <n v="128.441295546558"/>
        <n v="114.612326043737"/>
        <n v="121.308016877637"/>
        <n v="138.02992518703201"/>
        <n v="135.27227722772199"/>
        <n v="127.73207990599199"/>
        <n v="157.03918722786599"/>
        <n v="126.792009400705"/>
        <n v="124.327628361858"/>
        <n v="132.073011734028"/>
        <n v="135.27027027027"/>
        <n v="133.37801608578999"/>
        <n v="118.105515587529"/>
        <n v="142.96187683284401"/>
        <n v="130.213903743315"/>
        <n v="127.763157894736"/>
        <n v="128.17460317460299"/>
        <n v="147.290640394088"/>
        <n v="110.47381546134601"/>
        <n v="128.843338213762"/>
        <n v="121.652421652421"/>
        <n v="139.19597989949699"/>
        <n v="127.388535031847"/>
        <n v="114.490674318507"/>
        <n v="171.39737991266301"/>
        <n v="144.63276836158099"/>
        <n v="137.61301989149999"/>
        <n v="127.551020408163"/>
        <n v="110.96096096095999"/>
        <n v="126.352530541012"/>
        <n v="132.01506591337099"/>
        <n v="117.975567190226"/>
        <n v="117.07317073170699"/>
        <n v="122.099447513812"/>
        <n v="133.264033264033"/>
        <n v="130.75268817204301"/>
        <n v="132.45614035087701"/>
        <n v="142.78959810874699"/>
        <n v="112.52408477842"/>
        <n v="141.769041769041"/>
        <n v="135.336538461538"/>
        <n v="127.186761229314"/>
        <n v="117.477876106194"/>
        <n v="136.17571059431501"/>
        <n v="127.360774818401"/>
        <n v="158.71559633027499"/>
        <n v="109.59488272921099"/>
        <n v="135.278514588859"/>
        <n v="131.088082901554"/>
        <n v="121.686746987951"/>
        <n v="131.49171270718199"/>
        <n v="161.619718309859"/>
        <n v="120.107238605898"/>
        <n v="129.53216374268999"/>
        <n v="133.63914373088599"/>
        <n v="139.01639344262199"/>
        <n v="124.778761061946"/>
        <n v="136.72131147540901"/>
        <n v="144.56140350877101"/>
        <n v="114.24581005586499"/>
        <n v="117.05202312138699"/>
        <n v="112.640449438202"/>
        <n v="127.92207792207699"/>
        <n v="99.744245524296602"/>
        <n v="128.476821192052"/>
        <n v="111.904761904761"/>
        <n v="118.296529968454"/>
        <n v="126.896551724137"/>
        <n v="95.064935064935"/>
        <n v="126.736111111111"/>
        <n v="120.422535211267"/>
        <n v="108.28025477707"/>
        <n v="124.175824175824"/>
        <n v="134.80000000000001"/>
        <n v="109"/>
        <n v="139.31623931623901"/>
        <n v="117.40740740740701"/>
        <n v="114.391143911439"/>
        <n v="116.923076923076"/>
        <n v="136.32286995515599"/>
        <n v="170.62146892655301"/>
        <n v="123.77049180327801"/>
        <n v="100"/>
        <n v="101.72413793103399"/>
        <n v="122.406639004149"/>
        <n v="110.89494163424099"/>
        <n v="106.015037593984"/>
        <n v="89.743589743589695"/>
        <n v="146.59685863874299"/>
        <n v="112"/>
        <n v="144.04145077720199"/>
        <n v="138.26530612244801"/>
        <n v="116.883116883116"/>
        <n v="104.01606425702801"/>
        <n v="130.97826086956499"/>
        <n v="169.50354609928999"/>
        <n v="113.942307692307"/>
        <n v="114.795918367346"/>
        <n v="94.782608695652101"/>
        <n v="103.333333333333"/>
        <n v="138.513513513513"/>
        <n v="130.128205128205"/>
        <n v="92.957746478873204"/>
        <n v="118.787878787878"/>
        <n v="116.167664670658"/>
        <n v="136.87943262411301"/>
        <n v="119.875776397515"/>
        <n v="107.865168539325"/>
        <n v="154.54545454545399"/>
        <n v="119.48051948051901"/>
        <n v="97.354497354497298"/>
        <n v="106.395348837209"/>
        <n v="135.555555555555"/>
        <n v="165.45454545454501"/>
        <n v="127.464788732394"/>
        <n v="117.763157894736"/>
        <n v="126.241134751773"/>
        <n v="145.08196721311401"/>
        <n v="125.925925925925"/>
        <n v="160.377358490566"/>
        <n v="114.18918918918899"/>
        <n v="104.347826086956"/>
        <n v="126.515151515151"/>
        <n v="105.732484076433"/>
        <n v="102.49999999999901"/>
        <n v="127.777777777777"/>
        <n v="94.152046783625707"/>
        <n v="148.14814814814801"/>
        <n v="112.765957446808"/>
        <n v="94.082840236686394"/>
        <n v="113.333333333333"/>
        <n v="127.118644067796"/>
        <n v="132.43243243243199"/>
        <n v="134.25925925925901"/>
        <n v="174.69879518072199"/>
        <n v="156.043956043956"/>
        <n v="98.6111111111111"/>
        <n v="135.64356435643501"/>
        <n v="123.636363636363"/>
        <n v="98.4962406015037"/>
        <n v="107.438016528925"/>
        <n v="109.32203389830499"/>
        <n v="164.102564102564"/>
        <n v="141.111111111111"/>
        <n v="92.028985507246304"/>
        <n v="127"/>
        <n v="140"/>
        <n v="98.425196850393704"/>
        <n v="110.619469026548"/>
        <n v="129.166666666666"/>
        <n v="105.128205128205"/>
        <n v="124.24242424242399"/>
        <n v="98.387096774193495"/>
        <n v="102.54237288135501"/>
        <n v="111.009174311926"/>
        <n v="134.831460674157"/>
        <n v="105.40540540540501"/>
        <n v="144.444444444444"/>
        <n v="84.782608695652101"/>
        <n v="117.17171717171701"/>
        <n v="170.588235294117"/>
        <n v="129.21348314606701"/>
        <n v="104.62962962962899"/>
        <n v="109.90099009900899"/>
        <n v="157.35294117647001"/>
        <n v="98.148148148148096"/>
        <n v="176.666666666666"/>
        <n v="166.666666666666"/>
        <n v="100.980392156862"/>
        <n v="95.283018867924497"/>
        <n v="141.42857142857099"/>
        <n v="111.23595505617899"/>
        <n v="104.255319148936"/>
        <n v="84.482758620689594"/>
        <n v="97.959183673469298"/>
        <n v="172.72727272727201"/>
        <n v="131.42857142857099"/>
        <n v="101.098901098901"/>
        <n v="94.845360824742201"/>
        <n v="112.345679012345"/>
        <n v="71.653543307086593"/>
        <n v="91.836734693877503"/>
        <n v="123.28767123287599"/>
        <n v="125.714285714285"/>
        <n v="106.02409638554199"/>
        <n v="88.8888888888888"/>
        <n v="114.473684210526"/>
        <n v="137.704918032786"/>
        <n v="113.698630136986"/>
        <n v="119.117647058823"/>
        <n v="110.958904109589"/>
        <n v="176.08695652173901"/>
        <n v="101.282051282051"/>
        <n v="145.283018867924"/>
        <n v="138.18181818181799"/>
        <n v="78.350515463917503"/>
        <n v="129.31034482758599"/>
        <n v="150"/>
        <n v="94.805194805194802"/>
        <n v="97.3333333333333"/>
        <n v="151.063829787234"/>
        <n v="161.363636363636"/>
        <n v="81.176470588235205"/>
        <n v="117.543859649122"/>
        <n v="106.349206349206"/>
        <n v="101.53846153846099"/>
        <n v="88"/>
        <n v="78.048780487804805"/>
        <n v="95.454545454545396"/>
        <n v="84"/>
        <n v="116.981132075471"/>
        <n v="105.35714285714199"/>
        <n v="76.712328767123196"/>
        <n v="103.77358490566"/>
        <n v="79.710144927536206"/>
        <n v="90.163934426229503"/>
        <n v="117.39130434782599"/>
        <n v="103.846153846153"/>
        <n v="74.647887323943607"/>
        <n v="103.92156862745099"/>
        <n v="72.2222222222222"/>
        <n v="104"/>
        <n v="110.63829787234"/>
        <n v="102"/>
        <n v="104.08163265306101"/>
        <n v="79.0322580645161"/>
        <n v="85.964912280701697"/>
        <n v="71.212121212121204"/>
        <n v="83.3333333333333"/>
        <n v="138.70967741935399"/>
        <n v="71.186440677966104"/>
        <n v="91.304347826086897"/>
        <n v="69.491525423728802"/>
        <n v="160"/>
        <n v="121.212121212121"/>
        <n v="114.28571428571399"/>
        <n v="205.263157894736"/>
        <n v="169.565217391304"/>
        <n v="75"/>
        <n v="95.121951219512198"/>
        <n v="122.58064516128999"/>
        <n v="80.434782608695599"/>
        <n v="137.03703703703701"/>
        <n v="97.368421052631504"/>
        <n v="124.13793103448199"/>
        <n v="76.595744680850999"/>
        <n v="92.307692307692307"/>
        <n v="120"/>
        <n v="138.461538461538"/>
        <n v="171.42857142857099"/>
        <n v="76.086956521739097"/>
        <n v="94.594594594594597"/>
        <n v="65.384615384615302"/>
        <n v="136"/>
        <n v="143.47826086956499"/>
        <n v="137.5"/>
        <n v="96.969696969696898"/>
        <n v="110.34482758620599"/>
        <n v="41.558441558441501"/>
        <n v="86.1111111111111"/>
        <n v="119.230769230769"/>
        <n v="103.448275862068"/>
        <n v="111.53846153846099"/>
        <n v="96.551724137931004"/>
        <n v="116.666666666666"/>
        <n v="108.333333333333"/>
        <n v="123.809523809523"/>
        <n v="55.319148936170201"/>
        <n v="68.421052631578902"/>
        <n v="125"/>
        <n v="80.645161290322505"/>
        <n v="61.538461538461497"/>
        <n v="85.185185185185105"/>
        <n v="74.193548387096698"/>
        <n v="88.461538461538396"/>
        <n v="66.6666666666666"/>
        <n v="45.8333333333333"/>
        <n v="80.769230769230703"/>
        <n v="111.111111111111"/>
        <n v="68.965517241379303"/>
        <n v="105.263157894736"/>
        <n v="74.074074074074005"/>
        <n v="95.238095238095198"/>
        <n v="76.923076923076906"/>
        <n v="82.608695652173907"/>
        <n v="79.1666666666666"/>
        <n v="111.764705882352"/>
        <n v="146.15384615384599"/>
        <n v="86.363636363636303"/>
        <n v="73.076923076922995"/>
        <n v="112.5"/>
        <n v="163.636363636363"/>
        <n v="46.153846153846096"/>
        <n v="85"/>
        <n v="56.6666666666666"/>
        <n v="36.363636363636303"/>
        <n v="69.565217391304301"/>
        <n v="94.117647058823493"/>
        <n v="115.384615384615"/>
        <n v="78.947368421052602"/>
        <n v="93.75"/>
        <n v="57.692307692307601"/>
        <n v="107.692307692307"/>
        <n v="56.521739130434703"/>
        <n v="86.6666666666666"/>
        <n v="162.5"/>
        <n v="76.470588235294102"/>
        <n v="60"/>
        <n v="85.714285714285694"/>
        <n v="133.333333333333"/>
        <n v="109.09090909090899"/>
        <n v="70.588235294117595"/>
        <n v="42.857142857142797"/>
        <n v="61.1111111111111"/>
        <n v="78.571428571428498"/>
        <n v="68.75"/>
        <n v="57.894736842105203"/>
        <n v="122.222222222222"/>
        <n v="58.823529411764703"/>
        <n v="71.428571428571402"/>
        <n v="38.461538461538403"/>
        <n v="90"/>
        <n v="69.230769230769198"/>
        <n v="72.727272727272705"/>
        <n v="53.3333333333333"/>
        <n v="50"/>
        <n v="58.3333333333333"/>
        <n v="43.75"/>
        <n v="87.5"/>
        <n v="175"/>
        <n v="41.176470588235198"/>
        <n v="200"/>
        <n v="250"/>
        <n v="62.5"/>
        <n v="35.714285714285701"/>
        <n v="30.769230769230699"/>
        <n v="57.142857142857103"/>
        <n v="80"/>
        <n v="30"/>
        <n v="25"/>
        <n v="20"/>
        <n v="28.571428571428498"/>
        <n v="40"/>
        <n v="16.6666666666666"/>
        <n v="33.3333333333333"/>
        <n v="14.285714285714199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7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4"/>
    <x v="4"/>
  </r>
  <r>
    <x v="5"/>
    <x v="5"/>
    <x v="5"/>
    <x v="5"/>
    <x v="5"/>
    <x v="5"/>
  </r>
  <r>
    <x v="6"/>
    <x v="6"/>
    <x v="6"/>
    <x v="6"/>
    <x v="6"/>
    <x v="6"/>
  </r>
  <r>
    <x v="7"/>
    <x v="7"/>
    <x v="7"/>
    <x v="7"/>
    <x v="7"/>
    <x v="7"/>
  </r>
  <r>
    <x v="8"/>
    <x v="8"/>
    <x v="8"/>
    <x v="8"/>
    <x v="8"/>
    <x v="8"/>
  </r>
  <r>
    <x v="9"/>
    <x v="9"/>
    <x v="9"/>
    <x v="9"/>
    <x v="9"/>
    <x v="9"/>
  </r>
  <r>
    <x v="10"/>
    <x v="10"/>
    <x v="10"/>
    <x v="10"/>
    <x v="10"/>
    <x v="10"/>
  </r>
  <r>
    <x v="11"/>
    <x v="11"/>
    <x v="11"/>
    <x v="11"/>
    <x v="11"/>
    <x v="11"/>
  </r>
  <r>
    <x v="12"/>
    <x v="12"/>
    <x v="12"/>
    <x v="12"/>
    <x v="12"/>
    <x v="12"/>
  </r>
  <r>
    <x v="13"/>
    <x v="13"/>
    <x v="3"/>
    <x v="13"/>
    <x v="13"/>
    <x v="13"/>
  </r>
  <r>
    <x v="14"/>
    <x v="14"/>
    <x v="5"/>
    <x v="14"/>
    <x v="14"/>
    <x v="14"/>
  </r>
  <r>
    <x v="15"/>
    <x v="15"/>
    <x v="13"/>
    <x v="15"/>
    <x v="15"/>
    <x v="15"/>
  </r>
  <r>
    <x v="16"/>
    <x v="16"/>
    <x v="14"/>
    <x v="16"/>
    <x v="16"/>
    <x v="16"/>
  </r>
  <r>
    <x v="17"/>
    <x v="17"/>
    <x v="15"/>
    <x v="16"/>
    <x v="17"/>
    <x v="17"/>
  </r>
  <r>
    <x v="18"/>
    <x v="18"/>
    <x v="16"/>
    <x v="17"/>
    <x v="18"/>
    <x v="18"/>
  </r>
  <r>
    <x v="19"/>
    <x v="19"/>
    <x v="17"/>
    <x v="18"/>
    <x v="19"/>
    <x v="19"/>
  </r>
  <r>
    <x v="20"/>
    <x v="20"/>
    <x v="18"/>
    <x v="19"/>
    <x v="20"/>
    <x v="20"/>
  </r>
  <r>
    <x v="21"/>
    <x v="21"/>
    <x v="19"/>
    <x v="20"/>
    <x v="21"/>
    <x v="21"/>
  </r>
  <r>
    <x v="22"/>
    <x v="22"/>
    <x v="20"/>
    <x v="21"/>
    <x v="22"/>
    <x v="22"/>
  </r>
  <r>
    <x v="23"/>
    <x v="23"/>
    <x v="21"/>
    <x v="22"/>
    <x v="23"/>
    <x v="23"/>
  </r>
  <r>
    <x v="24"/>
    <x v="24"/>
    <x v="22"/>
    <x v="23"/>
    <x v="24"/>
    <x v="24"/>
  </r>
  <r>
    <x v="25"/>
    <x v="25"/>
    <x v="23"/>
    <x v="24"/>
    <x v="25"/>
    <x v="25"/>
  </r>
  <r>
    <x v="26"/>
    <x v="26"/>
    <x v="24"/>
    <x v="25"/>
    <x v="26"/>
    <x v="26"/>
  </r>
  <r>
    <x v="27"/>
    <x v="27"/>
    <x v="25"/>
    <x v="26"/>
    <x v="27"/>
    <x v="27"/>
  </r>
  <r>
    <x v="28"/>
    <x v="28"/>
    <x v="26"/>
    <x v="27"/>
    <x v="28"/>
    <x v="28"/>
  </r>
  <r>
    <x v="29"/>
    <x v="29"/>
    <x v="27"/>
    <x v="28"/>
    <x v="29"/>
    <x v="29"/>
  </r>
  <r>
    <x v="30"/>
    <x v="30"/>
    <x v="28"/>
    <x v="29"/>
    <x v="30"/>
    <x v="30"/>
  </r>
  <r>
    <x v="31"/>
    <x v="31"/>
    <x v="28"/>
    <x v="30"/>
    <x v="31"/>
    <x v="31"/>
  </r>
  <r>
    <x v="32"/>
    <x v="32"/>
    <x v="29"/>
    <x v="31"/>
    <x v="32"/>
    <x v="32"/>
  </r>
  <r>
    <x v="33"/>
    <x v="33"/>
    <x v="30"/>
    <x v="32"/>
    <x v="33"/>
    <x v="33"/>
  </r>
  <r>
    <x v="34"/>
    <x v="34"/>
    <x v="31"/>
    <x v="33"/>
    <x v="34"/>
    <x v="34"/>
  </r>
  <r>
    <x v="35"/>
    <x v="35"/>
    <x v="32"/>
    <x v="34"/>
    <x v="35"/>
    <x v="35"/>
  </r>
  <r>
    <x v="36"/>
    <x v="36"/>
    <x v="33"/>
    <x v="35"/>
    <x v="36"/>
    <x v="36"/>
  </r>
  <r>
    <x v="37"/>
    <x v="37"/>
    <x v="34"/>
    <x v="36"/>
    <x v="37"/>
    <x v="37"/>
  </r>
  <r>
    <x v="38"/>
    <x v="37"/>
    <x v="28"/>
    <x v="37"/>
    <x v="38"/>
    <x v="38"/>
  </r>
  <r>
    <x v="39"/>
    <x v="38"/>
    <x v="35"/>
    <x v="38"/>
    <x v="39"/>
    <x v="39"/>
  </r>
  <r>
    <x v="40"/>
    <x v="39"/>
    <x v="36"/>
    <x v="39"/>
    <x v="40"/>
    <x v="40"/>
  </r>
  <r>
    <x v="41"/>
    <x v="40"/>
    <x v="37"/>
    <x v="40"/>
    <x v="41"/>
    <x v="41"/>
  </r>
  <r>
    <x v="42"/>
    <x v="41"/>
    <x v="38"/>
    <x v="41"/>
    <x v="42"/>
    <x v="42"/>
  </r>
  <r>
    <x v="43"/>
    <x v="42"/>
    <x v="34"/>
    <x v="42"/>
    <x v="43"/>
    <x v="43"/>
  </r>
  <r>
    <x v="44"/>
    <x v="43"/>
    <x v="23"/>
    <x v="43"/>
    <x v="44"/>
    <x v="44"/>
  </r>
  <r>
    <x v="45"/>
    <x v="44"/>
    <x v="39"/>
    <x v="44"/>
    <x v="45"/>
    <x v="45"/>
  </r>
  <r>
    <x v="46"/>
    <x v="45"/>
    <x v="40"/>
    <x v="45"/>
    <x v="46"/>
    <x v="46"/>
  </r>
  <r>
    <x v="47"/>
    <x v="46"/>
    <x v="41"/>
    <x v="46"/>
    <x v="47"/>
    <x v="47"/>
  </r>
  <r>
    <x v="48"/>
    <x v="47"/>
    <x v="42"/>
    <x v="47"/>
    <x v="48"/>
    <x v="48"/>
  </r>
  <r>
    <x v="49"/>
    <x v="48"/>
    <x v="43"/>
    <x v="48"/>
    <x v="49"/>
    <x v="49"/>
  </r>
  <r>
    <x v="50"/>
    <x v="49"/>
    <x v="44"/>
    <x v="49"/>
    <x v="50"/>
    <x v="50"/>
  </r>
  <r>
    <x v="51"/>
    <x v="50"/>
    <x v="40"/>
    <x v="50"/>
    <x v="51"/>
    <x v="51"/>
  </r>
  <r>
    <x v="52"/>
    <x v="51"/>
    <x v="45"/>
    <x v="51"/>
    <x v="52"/>
    <x v="52"/>
  </r>
  <r>
    <x v="53"/>
    <x v="52"/>
    <x v="32"/>
    <x v="52"/>
    <x v="53"/>
    <x v="53"/>
  </r>
  <r>
    <x v="54"/>
    <x v="53"/>
    <x v="42"/>
    <x v="53"/>
    <x v="54"/>
    <x v="54"/>
  </r>
  <r>
    <x v="55"/>
    <x v="54"/>
    <x v="46"/>
    <x v="54"/>
    <x v="55"/>
    <x v="55"/>
  </r>
  <r>
    <x v="56"/>
    <x v="55"/>
    <x v="45"/>
    <x v="55"/>
    <x v="56"/>
    <x v="56"/>
  </r>
  <r>
    <x v="57"/>
    <x v="56"/>
    <x v="47"/>
    <x v="56"/>
    <x v="57"/>
    <x v="57"/>
  </r>
  <r>
    <x v="58"/>
    <x v="57"/>
    <x v="48"/>
    <x v="57"/>
    <x v="58"/>
    <x v="58"/>
  </r>
  <r>
    <x v="59"/>
    <x v="58"/>
    <x v="43"/>
    <x v="58"/>
    <x v="59"/>
    <x v="59"/>
  </r>
  <r>
    <x v="60"/>
    <x v="59"/>
    <x v="29"/>
    <x v="59"/>
    <x v="60"/>
    <x v="60"/>
  </r>
  <r>
    <x v="61"/>
    <x v="60"/>
    <x v="49"/>
    <x v="60"/>
    <x v="61"/>
    <x v="61"/>
  </r>
  <r>
    <x v="62"/>
    <x v="61"/>
    <x v="50"/>
    <x v="61"/>
    <x v="62"/>
    <x v="62"/>
  </r>
  <r>
    <x v="63"/>
    <x v="62"/>
    <x v="40"/>
    <x v="62"/>
    <x v="63"/>
    <x v="63"/>
  </r>
  <r>
    <x v="64"/>
    <x v="63"/>
    <x v="51"/>
    <x v="63"/>
    <x v="64"/>
    <x v="64"/>
  </r>
  <r>
    <x v="65"/>
    <x v="64"/>
    <x v="49"/>
    <x v="62"/>
    <x v="65"/>
    <x v="65"/>
  </r>
  <r>
    <x v="66"/>
    <x v="65"/>
    <x v="43"/>
    <x v="64"/>
    <x v="66"/>
    <x v="66"/>
  </r>
  <r>
    <x v="67"/>
    <x v="66"/>
    <x v="47"/>
    <x v="65"/>
    <x v="67"/>
    <x v="67"/>
  </r>
  <r>
    <x v="68"/>
    <x v="67"/>
    <x v="52"/>
    <x v="66"/>
    <x v="68"/>
    <x v="68"/>
  </r>
  <r>
    <x v="69"/>
    <x v="68"/>
    <x v="53"/>
    <x v="67"/>
    <x v="69"/>
    <x v="69"/>
  </r>
  <r>
    <x v="70"/>
    <x v="69"/>
    <x v="47"/>
    <x v="68"/>
    <x v="70"/>
    <x v="70"/>
  </r>
  <r>
    <x v="71"/>
    <x v="70"/>
    <x v="50"/>
    <x v="69"/>
    <x v="71"/>
    <x v="71"/>
  </r>
  <r>
    <x v="72"/>
    <x v="71"/>
    <x v="54"/>
    <x v="70"/>
    <x v="72"/>
    <x v="72"/>
  </r>
  <r>
    <x v="73"/>
    <x v="72"/>
    <x v="53"/>
    <x v="71"/>
    <x v="73"/>
    <x v="73"/>
  </r>
  <r>
    <x v="74"/>
    <x v="73"/>
    <x v="53"/>
    <x v="72"/>
    <x v="74"/>
    <x v="74"/>
  </r>
  <r>
    <x v="75"/>
    <x v="74"/>
    <x v="55"/>
    <x v="73"/>
    <x v="75"/>
    <x v="75"/>
  </r>
  <r>
    <x v="76"/>
    <x v="75"/>
    <x v="55"/>
    <x v="60"/>
    <x v="76"/>
    <x v="76"/>
  </r>
  <r>
    <x v="77"/>
    <x v="76"/>
    <x v="56"/>
    <x v="74"/>
    <x v="77"/>
    <x v="77"/>
  </r>
  <r>
    <x v="78"/>
    <x v="77"/>
    <x v="51"/>
    <x v="75"/>
    <x v="78"/>
    <x v="78"/>
  </r>
  <r>
    <x v="79"/>
    <x v="78"/>
    <x v="31"/>
    <x v="76"/>
    <x v="79"/>
    <x v="79"/>
  </r>
  <r>
    <x v="80"/>
    <x v="79"/>
    <x v="57"/>
    <x v="77"/>
    <x v="80"/>
    <x v="80"/>
  </r>
  <r>
    <x v="81"/>
    <x v="80"/>
    <x v="45"/>
    <x v="78"/>
    <x v="81"/>
    <x v="81"/>
  </r>
  <r>
    <x v="82"/>
    <x v="81"/>
    <x v="50"/>
    <x v="79"/>
    <x v="82"/>
    <x v="82"/>
  </r>
  <r>
    <x v="83"/>
    <x v="82"/>
    <x v="58"/>
    <x v="80"/>
    <x v="83"/>
    <x v="83"/>
  </r>
  <r>
    <x v="84"/>
    <x v="83"/>
    <x v="49"/>
    <x v="81"/>
    <x v="84"/>
    <x v="84"/>
  </r>
  <r>
    <x v="85"/>
    <x v="84"/>
    <x v="46"/>
    <x v="82"/>
    <x v="85"/>
    <x v="85"/>
  </r>
  <r>
    <x v="86"/>
    <x v="85"/>
    <x v="59"/>
    <x v="83"/>
    <x v="86"/>
    <x v="86"/>
  </r>
  <r>
    <x v="87"/>
    <x v="86"/>
    <x v="60"/>
    <x v="84"/>
    <x v="87"/>
    <x v="87"/>
  </r>
  <r>
    <x v="88"/>
    <x v="87"/>
    <x v="60"/>
    <x v="80"/>
    <x v="88"/>
    <x v="88"/>
  </r>
  <r>
    <x v="89"/>
    <x v="88"/>
    <x v="59"/>
    <x v="84"/>
    <x v="89"/>
    <x v="89"/>
  </r>
  <r>
    <x v="90"/>
    <x v="89"/>
    <x v="61"/>
    <x v="85"/>
    <x v="90"/>
    <x v="90"/>
  </r>
  <r>
    <x v="91"/>
    <x v="90"/>
    <x v="58"/>
    <x v="86"/>
    <x v="91"/>
    <x v="91"/>
  </r>
  <r>
    <x v="92"/>
    <x v="91"/>
    <x v="59"/>
    <x v="87"/>
    <x v="92"/>
    <x v="92"/>
  </r>
  <r>
    <x v="93"/>
    <x v="92"/>
    <x v="58"/>
    <x v="88"/>
    <x v="93"/>
    <x v="93"/>
  </r>
  <r>
    <x v="94"/>
    <x v="93"/>
    <x v="58"/>
    <x v="89"/>
    <x v="94"/>
    <x v="94"/>
  </r>
  <r>
    <x v="95"/>
    <x v="93"/>
    <x v="62"/>
    <x v="90"/>
    <x v="95"/>
    <x v="95"/>
  </r>
  <r>
    <x v="96"/>
    <x v="94"/>
    <x v="63"/>
    <x v="91"/>
    <x v="96"/>
    <x v="96"/>
  </r>
  <r>
    <x v="97"/>
    <x v="95"/>
    <x v="64"/>
    <x v="92"/>
    <x v="97"/>
    <x v="97"/>
  </r>
  <r>
    <x v="98"/>
    <x v="96"/>
    <x v="65"/>
    <x v="93"/>
    <x v="98"/>
    <x v="98"/>
  </r>
  <r>
    <x v="99"/>
    <x v="97"/>
    <x v="66"/>
    <x v="90"/>
    <x v="99"/>
    <x v="99"/>
  </r>
  <r>
    <x v="100"/>
    <x v="98"/>
    <x v="67"/>
    <x v="94"/>
    <x v="100"/>
    <x v="100"/>
  </r>
  <r>
    <x v="101"/>
    <x v="99"/>
    <x v="52"/>
    <x v="95"/>
    <x v="101"/>
    <x v="101"/>
  </r>
  <r>
    <x v="102"/>
    <x v="100"/>
    <x v="68"/>
    <x v="96"/>
    <x v="102"/>
    <x v="102"/>
  </r>
  <r>
    <x v="103"/>
    <x v="101"/>
    <x v="69"/>
    <x v="97"/>
    <x v="103"/>
    <x v="103"/>
  </r>
  <r>
    <x v="104"/>
    <x v="102"/>
    <x v="62"/>
    <x v="98"/>
    <x v="104"/>
    <x v="104"/>
  </r>
  <r>
    <x v="105"/>
    <x v="103"/>
    <x v="70"/>
    <x v="99"/>
    <x v="105"/>
    <x v="105"/>
  </r>
  <r>
    <x v="106"/>
    <x v="104"/>
    <x v="64"/>
    <x v="100"/>
    <x v="106"/>
    <x v="106"/>
  </r>
  <r>
    <x v="107"/>
    <x v="105"/>
    <x v="66"/>
    <x v="101"/>
    <x v="107"/>
    <x v="107"/>
  </r>
  <r>
    <x v="108"/>
    <x v="106"/>
    <x v="71"/>
    <x v="102"/>
    <x v="108"/>
    <x v="108"/>
  </r>
  <r>
    <x v="109"/>
    <x v="107"/>
    <x v="72"/>
    <x v="103"/>
    <x v="109"/>
    <x v="109"/>
  </r>
  <r>
    <x v="110"/>
    <x v="108"/>
    <x v="62"/>
    <x v="104"/>
    <x v="110"/>
    <x v="110"/>
  </r>
  <r>
    <x v="111"/>
    <x v="109"/>
    <x v="54"/>
    <x v="105"/>
    <x v="111"/>
    <x v="111"/>
  </r>
  <r>
    <x v="112"/>
    <x v="110"/>
    <x v="73"/>
    <x v="97"/>
    <x v="112"/>
    <x v="112"/>
  </r>
  <r>
    <x v="113"/>
    <x v="111"/>
    <x v="62"/>
    <x v="106"/>
    <x v="113"/>
    <x v="113"/>
  </r>
  <r>
    <x v="114"/>
    <x v="112"/>
    <x v="67"/>
    <x v="107"/>
    <x v="114"/>
    <x v="114"/>
  </r>
  <r>
    <x v="115"/>
    <x v="113"/>
    <x v="65"/>
    <x v="106"/>
    <x v="115"/>
    <x v="115"/>
  </r>
  <r>
    <x v="116"/>
    <x v="114"/>
    <x v="74"/>
    <x v="108"/>
    <x v="116"/>
    <x v="116"/>
  </r>
  <r>
    <x v="117"/>
    <x v="115"/>
    <x v="66"/>
    <x v="109"/>
    <x v="117"/>
    <x v="117"/>
  </r>
  <r>
    <x v="118"/>
    <x v="116"/>
    <x v="58"/>
    <x v="110"/>
    <x v="118"/>
    <x v="118"/>
  </r>
  <r>
    <x v="119"/>
    <x v="117"/>
    <x v="66"/>
    <x v="111"/>
    <x v="119"/>
    <x v="119"/>
  </r>
  <r>
    <x v="120"/>
    <x v="118"/>
    <x v="71"/>
    <x v="112"/>
    <x v="120"/>
    <x v="120"/>
  </r>
  <r>
    <x v="121"/>
    <x v="119"/>
    <x v="74"/>
    <x v="113"/>
    <x v="121"/>
    <x v="121"/>
  </r>
  <r>
    <x v="122"/>
    <x v="120"/>
    <x v="67"/>
    <x v="114"/>
    <x v="122"/>
    <x v="122"/>
  </r>
  <r>
    <x v="123"/>
    <x v="121"/>
    <x v="68"/>
    <x v="115"/>
    <x v="123"/>
    <x v="123"/>
  </r>
  <r>
    <x v="124"/>
    <x v="122"/>
    <x v="69"/>
    <x v="116"/>
    <x v="124"/>
    <x v="124"/>
  </r>
  <r>
    <x v="125"/>
    <x v="123"/>
    <x v="74"/>
    <x v="117"/>
    <x v="125"/>
    <x v="125"/>
  </r>
  <r>
    <x v="126"/>
    <x v="124"/>
    <x v="58"/>
    <x v="118"/>
    <x v="126"/>
    <x v="126"/>
  </r>
  <r>
    <x v="127"/>
    <x v="125"/>
    <x v="54"/>
    <x v="119"/>
    <x v="127"/>
    <x v="127"/>
  </r>
  <r>
    <x v="128"/>
    <x v="126"/>
    <x v="58"/>
    <x v="103"/>
    <x v="128"/>
    <x v="128"/>
  </r>
  <r>
    <x v="129"/>
    <x v="127"/>
    <x v="46"/>
    <x v="120"/>
    <x v="129"/>
    <x v="129"/>
  </r>
  <r>
    <x v="130"/>
    <x v="128"/>
    <x v="62"/>
    <x v="121"/>
    <x v="130"/>
    <x v="130"/>
  </r>
  <r>
    <x v="131"/>
    <x v="129"/>
    <x v="67"/>
    <x v="122"/>
    <x v="131"/>
    <x v="131"/>
  </r>
  <r>
    <x v="132"/>
    <x v="130"/>
    <x v="75"/>
    <x v="123"/>
    <x v="132"/>
    <x v="132"/>
  </r>
  <r>
    <x v="133"/>
    <x v="131"/>
    <x v="65"/>
    <x v="124"/>
    <x v="133"/>
    <x v="133"/>
  </r>
  <r>
    <x v="134"/>
    <x v="132"/>
    <x v="76"/>
    <x v="125"/>
    <x v="134"/>
    <x v="134"/>
  </r>
  <r>
    <x v="135"/>
    <x v="133"/>
    <x v="54"/>
    <x v="126"/>
    <x v="135"/>
    <x v="135"/>
  </r>
  <r>
    <x v="136"/>
    <x v="134"/>
    <x v="77"/>
    <x v="127"/>
    <x v="136"/>
    <x v="136"/>
  </r>
  <r>
    <x v="137"/>
    <x v="134"/>
    <x v="71"/>
    <x v="128"/>
    <x v="137"/>
    <x v="137"/>
  </r>
  <r>
    <x v="138"/>
    <x v="135"/>
    <x v="78"/>
    <x v="129"/>
    <x v="138"/>
    <x v="138"/>
  </r>
  <r>
    <x v="139"/>
    <x v="135"/>
    <x v="75"/>
    <x v="130"/>
    <x v="139"/>
    <x v="139"/>
  </r>
  <r>
    <x v="140"/>
    <x v="136"/>
    <x v="69"/>
    <x v="123"/>
    <x v="140"/>
    <x v="140"/>
  </r>
  <r>
    <x v="141"/>
    <x v="137"/>
    <x v="74"/>
    <x v="117"/>
    <x v="141"/>
    <x v="141"/>
  </r>
  <r>
    <x v="142"/>
    <x v="137"/>
    <x v="71"/>
    <x v="131"/>
    <x v="142"/>
    <x v="142"/>
  </r>
  <r>
    <x v="143"/>
    <x v="138"/>
    <x v="71"/>
    <x v="132"/>
    <x v="143"/>
    <x v="143"/>
  </r>
  <r>
    <x v="144"/>
    <x v="139"/>
    <x v="73"/>
    <x v="133"/>
    <x v="144"/>
    <x v="144"/>
  </r>
  <r>
    <x v="145"/>
    <x v="140"/>
    <x v="74"/>
    <x v="134"/>
    <x v="145"/>
    <x v="145"/>
  </r>
  <r>
    <x v="146"/>
    <x v="140"/>
    <x v="71"/>
    <x v="135"/>
    <x v="110"/>
    <x v="146"/>
  </r>
  <r>
    <x v="147"/>
    <x v="140"/>
    <x v="73"/>
    <x v="122"/>
    <x v="146"/>
    <x v="147"/>
  </r>
  <r>
    <x v="148"/>
    <x v="141"/>
    <x v="78"/>
    <x v="136"/>
    <x v="147"/>
    <x v="148"/>
  </r>
  <r>
    <x v="149"/>
    <x v="142"/>
    <x v="77"/>
    <x v="137"/>
    <x v="148"/>
    <x v="149"/>
  </r>
  <r>
    <x v="150"/>
    <x v="143"/>
    <x v="73"/>
    <x v="138"/>
    <x v="149"/>
    <x v="150"/>
  </r>
  <r>
    <x v="151"/>
    <x v="144"/>
    <x v="73"/>
    <x v="139"/>
    <x v="150"/>
    <x v="151"/>
  </r>
  <r>
    <x v="152"/>
    <x v="145"/>
    <x v="78"/>
    <x v="140"/>
    <x v="151"/>
    <x v="152"/>
  </r>
  <r>
    <x v="153"/>
    <x v="146"/>
    <x v="75"/>
    <x v="141"/>
    <x v="152"/>
    <x v="153"/>
  </r>
  <r>
    <x v="154"/>
    <x v="147"/>
    <x v="71"/>
    <x v="142"/>
    <x v="153"/>
    <x v="154"/>
  </r>
  <r>
    <x v="155"/>
    <x v="148"/>
    <x v="77"/>
    <x v="137"/>
    <x v="124"/>
    <x v="155"/>
  </r>
  <r>
    <x v="156"/>
    <x v="149"/>
    <x v="64"/>
    <x v="143"/>
    <x v="154"/>
    <x v="156"/>
  </r>
  <r>
    <x v="157"/>
    <x v="150"/>
    <x v="70"/>
    <x v="144"/>
    <x v="155"/>
    <x v="157"/>
  </r>
  <r>
    <x v="158"/>
    <x v="151"/>
    <x v="79"/>
    <x v="145"/>
    <x v="156"/>
    <x v="158"/>
  </r>
  <r>
    <x v="159"/>
    <x v="152"/>
    <x v="80"/>
    <x v="146"/>
    <x v="157"/>
    <x v="159"/>
  </r>
  <r>
    <x v="160"/>
    <x v="153"/>
    <x v="67"/>
    <x v="147"/>
    <x v="158"/>
    <x v="160"/>
  </r>
  <r>
    <x v="161"/>
    <x v="154"/>
    <x v="81"/>
    <x v="148"/>
    <x v="159"/>
    <x v="161"/>
  </r>
  <r>
    <x v="162"/>
    <x v="155"/>
    <x v="75"/>
    <x v="149"/>
    <x v="160"/>
    <x v="162"/>
  </r>
  <r>
    <x v="163"/>
    <x v="156"/>
    <x v="82"/>
    <x v="141"/>
    <x v="161"/>
    <x v="163"/>
  </r>
  <r>
    <x v="164"/>
    <x v="156"/>
    <x v="82"/>
    <x v="150"/>
    <x v="161"/>
    <x v="164"/>
  </r>
  <r>
    <x v="165"/>
    <x v="157"/>
    <x v="72"/>
    <x v="151"/>
    <x v="162"/>
    <x v="165"/>
  </r>
  <r>
    <x v="166"/>
    <x v="158"/>
    <x v="79"/>
    <x v="152"/>
    <x v="163"/>
    <x v="166"/>
  </r>
  <r>
    <x v="167"/>
    <x v="159"/>
    <x v="78"/>
    <x v="153"/>
    <x v="164"/>
    <x v="167"/>
  </r>
  <r>
    <x v="168"/>
    <x v="159"/>
    <x v="83"/>
    <x v="154"/>
    <x v="165"/>
    <x v="168"/>
  </r>
  <r>
    <x v="169"/>
    <x v="160"/>
    <x v="81"/>
    <x v="155"/>
    <x v="166"/>
    <x v="169"/>
  </r>
  <r>
    <x v="170"/>
    <x v="160"/>
    <x v="84"/>
    <x v="156"/>
    <x v="167"/>
    <x v="170"/>
  </r>
  <r>
    <x v="171"/>
    <x v="161"/>
    <x v="70"/>
    <x v="157"/>
    <x v="168"/>
    <x v="171"/>
  </r>
  <r>
    <x v="172"/>
    <x v="162"/>
    <x v="79"/>
    <x v="158"/>
    <x v="169"/>
    <x v="172"/>
  </r>
  <r>
    <x v="173"/>
    <x v="163"/>
    <x v="72"/>
    <x v="159"/>
    <x v="170"/>
    <x v="173"/>
  </r>
  <r>
    <x v="174"/>
    <x v="164"/>
    <x v="81"/>
    <x v="141"/>
    <x v="171"/>
    <x v="174"/>
  </r>
  <r>
    <x v="175"/>
    <x v="165"/>
    <x v="78"/>
    <x v="160"/>
    <x v="172"/>
    <x v="175"/>
  </r>
  <r>
    <x v="176"/>
    <x v="166"/>
    <x v="81"/>
    <x v="156"/>
    <x v="173"/>
    <x v="176"/>
  </r>
  <r>
    <x v="177"/>
    <x v="166"/>
    <x v="79"/>
    <x v="161"/>
    <x v="7"/>
    <x v="177"/>
  </r>
  <r>
    <x v="178"/>
    <x v="167"/>
    <x v="81"/>
    <x v="145"/>
    <x v="174"/>
    <x v="178"/>
  </r>
  <r>
    <x v="179"/>
    <x v="168"/>
    <x v="70"/>
    <x v="150"/>
    <x v="175"/>
    <x v="179"/>
  </r>
  <r>
    <x v="180"/>
    <x v="169"/>
    <x v="85"/>
    <x v="162"/>
    <x v="176"/>
    <x v="180"/>
  </r>
  <r>
    <x v="181"/>
    <x v="170"/>
    <x v="66"/>
    <x v="163"/>
    <x v="177"/>
    <x v="181"/>
  </r>
  <r>
    <x v="182"/>
    <x v="171"/>
    <x v="78"/>
    <x v="164"/>
    <x v="178"/>
    <x v="182"/>
  </r>
  <r>
    <x v="183"/>
    <x v="172"/>
    <x v="80"/>
    <x v="165"/>
    <x v="179"/>
    <x v="183"/>
  </r>
  <r>
    <x v="184"/>
    <x v="172"/>
    <x v="77"/>
    <x v="166"/>
    <x v="180"/>
    <x v="184"/>
  </r>
  <r>
    <x v="185"/>
    <x v="173"/>
    <x v="78"/>
    <x v="167"/>
    <x v="181"/>
    <x v="185"/>
  </r>
  <r>
    <x v="186"/>
    <x v="174"/>
    <x v="75"/>
    <x v="141"/>
    <x v="182"/>
    <x v="186"/>
  </r>
  <r>
    <x v="187"/>
    <x v="174"/>
    <x v="72"/>
    <x v="168"/>
    <x v="183"/>
    <x v="187"/>
  </r>
  <r>
    <x v="188"/>
    <x v="175"/>
    <x v="82"/>
    <x v="156"/>
    <x v="184"/>
    <x v="188"/>
  </r>
  <r>
    <x v="189"/>
    <x v="176"/>
    <x v="79"/>
    <x v="169"/>
    <x v="185"/>
    <x v="189"/>
  </r>
  <r>
    <x v="190"/>
    <x v="177"/>
    <x v="72"/>
    <x v="170"/>
    <x v="186"/>
    <x v="190"/>
  </r>
  <r>
    <x v="191"/>
    <x v="178"/>
    <x v="72"/>
    <x v="167"/>
    <x v="187"/>
    <x v="191"/>
  </r>
  <r>
    <x v="192"/>
    <x v="178"/>
    <x v="77"/>
    <x v="171"/>
    <x v="188"/>
    <x v="192"/>
  </r>
  <r>
    <x v="193"/>
    <x v="179"/>
    <x v="72"/>
    <x v="172"/>
    <x v="189"/>
    <x v="193"/>
  </r>
  <r>
    <x v="194"/>
    <x v="179"/>
    <x v="77"/>
    <x v="173"/>
    <x v="190"/>
    <x v="194"/>
  </r>
  <r>
    <x v="195"/>
    <x v="180"/>
    <x v="81"/>
    <x v="174"/>
    <x v="191"/>
    <x v="195"/>
  </r>
  <r>
    <x v="196"/>
    <x v="181"/>
    <x v="72"/>
    <x v="157"/>
    <x v="192"/>
    <x v="196"/>
  </r>
  <r>
    <x v="197"/>
    <x v="182"/>
    <x v="82"/>
    <x v="175"/>
    <x v="193"/>
    <x v="197"/>
  </r>
  <r>
    <x v="198"/>
    <x v="183"/>
    <x v="82"/>
    <x v="152"/>
    <x v="194"/>
    <x v="198"/>
  </r>
  <r>
    <x v="199"/>
    <x v="184"/>
    <x v="72"/>
    <x v="169"/>
    <x v="195"/>
    <x v="199"/>
  </r>
  <r>
    <x v="200"/>
    <x v="185"/>
    <x v="80"/>
    <x v="176"/>
    <x v="196"/>
    <x v="200"/>
  </r>
  <r>
    <x v="201"/>
    <x v="186"/>
    <x v="84"/>
    <x v="177"/>
    <x v="197"/>
    <x v="201"/>
  </r>
  <r>
    <x v="202"/>
    <x v="186"/>
    <x v="77"/>
    <x v="178"/>
    <x v="198"/>
    <x v="202"/>
  </r>
  <r>
    <x v="203"/>
    <x v="186"/>
    <x v="84"/>
    <x v="179"/>
    <x v="197"/>
    <x v="203"/>
  </r>
  <r>
    <x v="204"/>
    <x v="187"/>
    <x v="75"/>
    <x v="177"/>
    <x v="199"/>
    <x v="204"/>
  </r>
  <r>
    <x v="205"/>
    <x v="188"/>
    <x v="82"/>
    <x v="180"/>
    <x v="200"/>
    <x v="205"/>
  </r>
  <r>
    <x v="206"/>
    <x v="188"/>
    <x v="84"/>
    <x v="181"/>
    <x v="185"/>
    <x v="206"/>
  </r>
  <r>
    <x v="207"/>
    <x v="189"/>
    <x v="78"/>
    <x v="182"/>
    <x v="201"/>
    <x v="207"/>
  </r>
  <r>
    <x v="208"/>
    <x v="190"/>
    <x v="70"/>
    <x v="183"/>
    <x v="202"/>
    <x v="208"/>
  </r>
  <r>
    <x v="209"/>
    <x v="190"/>
    <x v="84"/>
    <x v="184"/>
    <x v="203"/>
    <x v="209"/>
  </r>
  <r>
    <x v="210"/>
    <x v="191"/>
    <x v="77"/>
    <x v="185"/>
    <x v="204"/>
    <x v="210"/>
  </r>
  <r>
    <x v="211"/>
    <x v="192"/>
    <x v="84"/>
    <x v="169"/>
    <x v="205"/>
    <x v="211"/>
  </r>
  <r>
    <x v="212"/>
    <x v="192"/>
    <x v="82"/>
    <x v="186"/>
    <x v="206"/>
    <x v="212"/>
  </r>
  <r>
    <x v="213"/>
    <x v="193"/>
    <x v="82"/>
    <x v="187"/>
    <x v="207"/>
    <x v="213"/>
  </r>
  <r>
    <x v="214"/>
    <x v="194"/>
    <x v="77"/>
    <x v="170"/>
    <x v="208"/>
    <x v="214"/>
  </r>
  <r>
    <x v="215"/>
    <x v="194"/>
    <x v="81"/>
    <x v="188"/>
    <x v="168"/>
    <x v="215"/>
  </r>
  <r>
    <x v="216"/>
    <x v="194"/>
    <x v="71"/>
    <x v="178"/>
    <x v="209"/>
    <x v="216"/>
  </r>
  <r>
    <x v="217"/>
    <x v="195"/>
    <x v="82"/>
    <x v="184"/>
    <x v="210"/>
    <x v="217"/>
  </r>
  <r>
    <x v="218"/>
    <x v="195"/>
    <x v="81"/>
    <x v="189"/>
    <x v="211"/>
    <x v="218"/>
  </r>
  <r>
    <x v="219"/>
    <x v="196"/>
    <x v="79"/>
    <x v="177"/>
    <x v="212"/>
    <x v="183"/>
  </r>
  <r>
    <x v="220"/>
    <x v="196"/>
    <x v="82"/>
    <x v="187"/>
    <x v="213"/>
    <x v="219"/>
  </r>
  <r>
    <x v="221"/>
    <x v="197"/>
    <x v="82"/>
    <x v="167"/>
    <x v="214"/>
    <x v="220"/>
  </r>
  <r>
    <x v="222"/>
    <x v="198"/>
    <x v="85"/>
    <x v="174"/>
    <x v="215"/>
    <x v="221"/>
  </r>
  <r>
    <x v="223"/>
    <x v="199"/>
    <x v="72"/>
    <x v="189"/>
    <x v="216"/>
    <x v="222"/>
  </r>
  <r>
    <x v="224"/>
    <x v="200"/>
    <x v="72"/>
    <x v="167"/>
    <x v="217"/>
    <x v="223"/>
  </r>
  <r>
    <x v="225"/>
    <x v="200"/>
    <x v="80"/>
    <x v="190"/>
    <x v="218"/>
    <x v="224"/>
  </r>
  <r>
    <x v="226"/>
    <x v="201"/>
    <x v="77"/>
    <x v="191"/>
    <x v="219"/>
    <x v="225"/>
  </r>
  <r>
    <x v="227"/>
    <x v="202"/>
    <x v="82"/>
    <x v="192"/>
    <x v="220"/>
    <x v="226"/>
  </r>
  <r>
    <x v="228"/>
    <x v="203"/>
    <x v="81"/>
    <x v="161"/>
    <x v="221"/>
    <x v="227"/>
  </r>
  <r>
    <x v="229"/>
    <x v="204"/>
    <x v="81"/>
    <x v="193"/>
    <x v="222"/>
    <x v="228"/>
  </r>
  <r>
    <x v="230"/>
    <x v="204"/>
    <x v="82"/>
    <x v="187"/>
    <x v="223"/>
    <x v="229"/>
  </r>
  <r>
    <x v="231"/>
    <x v="205"/>
    <x v="84"/>
    <x v="194"/>
    <x v="224"/>
    <x v="230"/>
  </r>
  <r>
    <x v="232"/>
    <x v="205"/>
    <x v="79"/>
    <x v="195"/>
    <x v="225"/>
    <x v="231"/>
  </r>
  <r>
    <x v="233"/>
    <x v="206"/>
    <x v="79"/>
    <x v="196"/>
    <x v="181"/>
    <x v="232"/>
  </r>
  <r>
    <x v="234"/>
    <x v="207"/>
    <x v="80"/>
    <x v="197"/>
    <x v="226"/>
    <x v="233"/>
  </r>
  <r>
    <x v="235"/>
    <x v="208"/>
    <x v="82"/>
    <x v="193"/>
    <x v="227"/>
    <x v="234"/>
  </r>
  <r>
    <x v="236"/>
    <x v="208"/>
    <x v="72"/>
    <x v="172"/>
    <x v="228"/>
    <x v="235"/>
  </r>
  <r>
    <x v="237"/>
    <x v="208"/>
    <x v="82"/>
    <x v="198"/>
    <x v="227"/>
    <x v="236"/>
  </r>
  <r>
    <x v="238"/>
    <x v="209"/>
    <x v="84"/>
    <x v="188"/>
    <x v="229"/>
    <x v="237"/>
  </r>
  <r>
    <x v="239"/>
    <x v="209"/>
    <x v="72"/>
    <x v="180"/>
    <x v="230"/>
    <x v="238"/>
  </r>
  <r>
    <x v="240"/>
    <x v="210"/>
    <x v="78"/>
    <x v="196"/>
    <x v="231"/>
    <x v="239"/>
  </r>
  <r>
    <x v="241"/>
    <x v="210"/>
    <x v="84"/>
    <x v="199"/>
    <x v="232"/>
    <x v="240"/>
  </r>
  <r>
    <x v="242"/>
    <x v="211"/>
    <x v="75"/>
    <x v="193"/>
    <x v="165"/>
    <x v="241"/>
  </r>
  <r>
    <x v="243"/>
    <x v="211"/>
    <x v="86"/>
    <x v="171"/>
    <x v="233"/>
    <x v="242"/>
  </r>
  <r>
    <x v="244"/>
    <x v="211"/>
    <x v="77"/>
    <x v="184"/>
    <x v="234"/>
    <x v="243"/>
  </r>
  <r>
    <x v="245"/>
    <x v="212"/>
    <x v="80"/>
    <x v="200"/>
    <x v="235"/>
    <x v="244"/>
  </r>
  <r>
    <x v="246"/>
    <x v="213"/>
    <x v="82"/>
    <x v="201"/>
    <x v="175"/>
    <x v="245"/>
  </r>
  <r>
    <x v="247"/>
    <x v="214"/>
    <x v="79"/>
    <x v="199"/>
    <x v="236"/>
    <x v="246"/>
  </r>
  <r>
    <x v="248"/>
    <x v="215"/>
    <x v="85"/>
    <x v="189"/>
    <x v="237"/>
    <x v="247"/>
  </r>
  <r>
    <x v="249"/>
    <x v="215"/>
    <x v="82"/>
    <x v="199"/>
    <x v="238"/>
    <x v="248"/>
  </r>
  <r>
    <x v="250"/>
    <x v="215"/>
    <x v="72"/>
    <x v="202"/>
    <x v="239"/>
    <x v="249"/>
  </r>
  <r>
    <x v="251"/>
    <x v="216"/>
    <x v="78"/>
    <x v="176"/>
    <x v="240"/>
    <x v="250"/>
  </r>
  <r>
    <x v="252"/>
    <x v="217"/>
    <x v="79"/>
    <x v="197"/>
    <x v="241"/>
    <x v="204"/>
  </r>
  <r>
    <x v="253"/>
    <x v="217"/>
    <x v="84"/>
    <x v="203"/>
    <x v="242"/>
    <x v="251"/>
  </r>
  <r>
    <x v="254"/>
    <x v="218"/>
    <x v="82"/>
    <x v="197"/>
    <x v="243"/>
    <x v="252"/>
  </r>
  <r>
    <x v="255"/>
    <x v="218"/>
    <x v="84"/>
    <x v="198"/>
    <x v="244"/>
    <x v="253"/>
  </r>
  <r>
    <x v="256"/>
    <x v="219"/>
    <x v="84"/>
    <x v="204"/>
    <x v="140"/>
    <x v="254"/>
  </r>
  <r>
    <x v="257"/>
    <x v="219"/>
    <x v="79"/>
    <x v="205"/>
    <x v="245"/>
    <x v="255"/>
  </r>
  <r>
    <x v="258"/>
    <x v="220"/>
    <x v="80"/>
    <x v="206"/>
    <x v="246"/>
    <x v="256"/>
  </r>
  <r>
    <x v="259"/>
    <x v="220"/>
    <x v="85"/>
    <x v="207"/>
    <x v="247"/>
    <x v="257"/>
  </r>
  <r>
    <x v="260"/>
    <x v="221"/>
    <x v="85"/>
    <x v="208"/>
    <x v="248"/>
    <x v="258"/>
  </r>
  <r>
    <x v="261"/>
    <x v="221"/>
    <x v="79"/>
    <x v="209"/>
    <x v="190"/>
    <x v="259"/>
  </r>
  <r>
    <x v="262"/>
    <x v="222"/>
    <x v="79"/>
    <x v="176"/>
    <x v="249"/>
    <x v="145"/>
  </r>
  <r>
    <x v="263"/>
    <x v="223"/>
    <x v="84"/>
    <x v="210"/>
    <x v="250"/>
    <x v="260"/>
  </r>
  <r>
    <x v="264"/>
    <x v="224"/>
    <x v="84"/>
    <x v="211"/>
    <x v="251"/>
    <x v="261"/>
  </r>
  <r>
    <x v="265"/>
    <x v="224"/>
    <x v="85"/>
    <x v="191"/>
    <x v="252"/>
    <x v="262"/>
  </r>
  <r>
    <x v="266"/>
    <x v="225"/>
    <x v="79"/>
    <x v="212"/>
    <x v="222"/>
    <x v="263"/>
  </r>
  <r>
    <x v="267"/>
    <x v="225"/>
    <x v="75"/>
    <x v="207"/>
    <x v="253"/>
    <x v="264"/>
  </r>
  <r>
    <x v="268"/>
    <x v="226"/>
    <x v="72"/>
    <x v="213"/>
    <x v="165"/>
    <x v="265"/>
  </r>
  <r>
    <x v="269"/>
    <x v="227"/>
    <x v="84"/>
    <x v="214"/>
    <x v="254"/>
    <x v="266"/>
  </r>
  <r>
    <x v="270"/>
    <x v="227"/>
    <x v="81"/>
    <x v="207"/>
    <x v="255"/>
    <x v="267"/>
  </r>
  <r>
    <x v="271"/>
    <x v="227"/>
    <x v="80"/>
    <x v="214"/>
    <x v="256"/>
    <x v="266"/>
  </r>
  <r>
    <x v="272"/>
    <x v="228"/>
    <x v="87"/>
    <x v="203"/>
    <x v="257"/>
    <x v="268"/>
  </r>
  <r>
    <x v="273"/>
    <x v="229"/>
    <x v="85"/>
    <x v="215"/>
    <x v="142"/>
    <x v="269"/>
  </r>
  <r>
    <x v="274"/>
    <x v="230"/>
    <x v="84"/>
    <x v="199"/>
    <x v="258"/>
    <x v="270"/>
  </r>
  <r>
    <x v="275"/>
    <x v="231"/>
    <x v="82"/>
    <x v="203"/>
    <x v="259"/>
    <x v="271"/>
  </r>
  <r>
    <x v="276"/>
    <x v="231"/>
    <x v="84"/>
    <x v="216"/>
    <x v="222"/>
    <x v="272"/>
  </r>
  <r>
    <x v="277"/>
    <x v="231"/>
    <x v="82"/>
    <x v="201"/>
    <x v="259"/>
    <x v="273"/>
  </r>
  <r>
    <x v="278"/>
    <x v="232"/>
    <x v="87"/>
    <x v="202"/>
    <x v="237"/>
    <x v="274"/>
  </r>
  <r>
    <x v="279"/>
    <x v="232"/>
    <x v="81"/>
    <x v="217"/>
    <x v="253"/>
    <x v="275"/>
  </r>
  <r>
    <x v="280"/>
    <x v="233"/>
    <x v="84"/>
    <x v="218"/>
    <x v="260"/>
    <x v="276"/>
  </r>
  <r>
    <x v="281"/>
    <x v="233"/>
    <x v="79"/>
    <x v="219"/>
    <x v="261"/>
    <x v="277"/>
  </r>
  <r>
    <x v="282"/>
    <x v="234"/>
    <x v="71"/>
    <x v="220"/>
    <x v="262"/>
    <x v="278"/>
  </r>
  <r>
    <x v="283"/>
    <x v="234"/>
    <x v="82"/>
    <x v="205"/>
    <x v="263"/>
    <x v="279"/>
  </r>
  <r>
    <x v="284"/>
    <x v="234"/>
    <x v="80"/>
    <x v="208"/>
    <x v="168"/>
    <x v="280"/>
  </r>
  <r>
    <x v="285"/>
    <x v="235"/>
    <x v="84"/>
    <x v="205"/>
    <x v="264"/>
    <x v="281"/>
  </r>
  <r>
    <x v="286"/>
    <x v="235"/>
    <x v="84"/>
    <x v="221"/>
    <x v="264"/>
    <x v="282"/>
  </r>
  <r>
    <x v="287"/>
    <x v="236"/>
    <x v="82"/>
    <x v="205"/>
    <x v="265"/>
    <x v="140"/>
  </r>
  <r>
    <x v="288"/>
    <x v="237"/>
    <x v="79"/>
    <x v="204"/>
    <x v="266"/>
    <x v="231"/>
  </r>
  <r>
    <x v="289"/>
    <x v="237"/>
    <x v="85"/>
    <x v="222"/>
    <x v="225"/>
    <x v="283"/>
  </r>
  <r>
    <x v="290"/>
    <x v="237"/>
    <x v="84"/>
    <x v="211"/>
    <x v="267"/>
    <x v="284"/>
  </r>
  <r>
    <x v="291"/>
    <x v="238"/>
    <x v="80"/>
    <x v="214"/>
    <x v="268"/>
    <x v="285"/>
  </r>
  <r>
    <x v="292"/>
    <x v="239"/>
    <x v="80"/>
    <x v="223"/>
    <x v="269"/>
    <x v="286"/>
  </r>
  <r>
    <x v="293"/>
    <x v="240"/>
    <x v="80"/>
    <x v="224"/>
    <x v="270"/>
    <x v="287"/>
  </r>
  <r>
    <x v="294"/>
    <x v="241"/>
    <x v="87"/>
    <x v="225"/>
    <x v="271"/>
    <x v="140"/>
  </r>
  <r>
    <x v="295"/>
    <x v="241"/>
    <x v="72"/>
    <x v="226"/>
    <x v="272"/>
    <x v="288"/>
  </r>
  <r>
    <x v="296"/>
    <x v="241"/>
    <x v="85"/>
    <x v="202"/>
    <x v="273"/>
    <x v="289"/>
  </r>
  <r>
    <x v="297"/>
    <x v="242"/>
    <x v="72"/>
    <x v="226"/>
    <x v="274"/>
    <x v="290"/>
  </r>
  <r>
    <x v="298"/>
    <x v="243"/>
    <x v="87"/>
    <x v="227"/>
    <x v="77"/>
    <x v="291"/>
  </r>
  <r>
    <x v="299"/>
    <x v="243"/>
    <x v="80"/>
    <x v="228"/>
    <x v="129"/>
    <x v="292"/>
  </r>
  <r>
    <x v="300"/>
    <x v="243"/>
    <x v="85"/>
    <x v="229"/>
    <x v="275"/>
    <x v="293"/>
  </r>
  <r>
    <x v="301"/>
    <x v="244"/>
    <x v="85"/>
    <x v="230"/>
    <x v="168"/>
    <x v="294"/>
  </r>
  <r>
    <x v="302"/>
    <x v="244"/>
    <x v="84"/>
    <x v="231"/>
    <x v="209"/>
    <x v="295"/>
  </r>
  <r>
    <x v="303"/>
    <x v="244"/>
    <x v="85"/>
    <x v="217"/>
    <x v="168"/>
    <x v="296"/>
  </r>
  <r>
    <x v="304"/>
    <x v="244"/>
    <x v="84"/>
    <x v="232"/>
    <x v="209"/>
    <x v="297"/>
  </r>
  <r>
    <x v="305"/>
    <x v="245"/>
    <x v="87"/>
    <x v="224"/>
    <x v="143"/>
    <x v="298"/>
  </r>
  <r>
    <x v="306"/>
    <x v="245"/>
    <x v="84"/>
    <x v="224"/>
    <x v="276"/>
    <x v="298"/>
  </r>
  <r>
    <x v="307"/>
    <x v="246"/>
    <x v="80"/>
    <x v="202"/>
    <x v="277"/>
    <x v="299"/>
  </r>
  <r>
    <x v="308"/>
    <x v="246"/>
    <x v="80"/>
    <x v="233"/>
    <x v="277"/>
    <x v="300"/>
  </r>
  <r>
    <x v="309"/>
    <x v="246"/>
    <x v="85"/>
    <x v="234"/>
    <x v="278"/>
    <x v="301"/>
  </r>
  <r>
    <x v="310"/>
    <x v="247"/>
    <x v="85"/>
    <x v="235"/>
    <x v="175"/>
    <x v="302"/>
  </r>
  <r>
    <x v="311"/>
    <x v="247"/>
    <x v="82"/>
    <x v="208"/>
    <x v="279"/>
    <x v="303"/>
  </r>
  <r>
    <x v="312"/>
    <x v="247"/>
    <x v="85"/>
    <x v="236"/>
    <x v="175"/>
    <x v="304"/>
  </r>
  <r>
    <x v="313"/>
    <x v="247"/>
    <x v="80"/>
    <x v="237"/>
    <x v="231"/>
    <x v="305"/>
  </r>
  <r>
    <x v="314"/>
    <x v="247"/>
    <x v="86"/>
    <x v="238"/>
    <x v="280"/>
    <x v="306"/>
  </r>
  <r>
    <x v="315"/>
    <x v="247"/>
    <x v="80"/>
    <x v="239"/>
    <x v="231"/>
    <x v="307"/>
  </r>
  <r>
    <x v="316"/>
    <x v="248"/>
    <x v="87"/>
    <x v="202"/>
    <x v="146"/>
    <x v="308"/>
  </r>
  <r>
    <x v="317"/>
    <x v="248"/>
    <x v="86"/>
    <x v="240"/>
    <x v="281"/>
    <x v="309"/>
  </r>
  <r>
    <x v="318"/>
    <x v="249"/>
    <x v="85"/>
    <x v="217"/>
    <x v="282"/>
    <x v="310"/>
  </r>
  <r>
    <x v="319"/>
    <x v="249"/>
    <x v="87"/>
    <x v="241"/>
    <x v="192"/>
    <x v="166"/>
  </r>
  <r>
    <x v="320"/>
    <x v="249"/>
    <x v="84"/>
    <x v="227"/>
    <x v="283"/>
    <x v="311"/>
  </r>
  <r>
    <x v="321"/>
    <x v="249"/>
    <x v="85"/>
    <x v="242"/>
    <x v="282"/>
    <x v="140"/>
  </r>
  <r>
    <x v="322"/>
    <x v="250"/>
    <x v="86"/>
    <x v="231"/>
    <x v="284"/>
    <x v="312"/>
  </r>
  <r>
    <x v="323"/>
    <x v="250"/>
    <x v="86"/>
    <x v="243"/>
    <x v="284"/>
    <x v="313"/>
  </r>
  <r>
    <x v="324"/>
    <x v="251"/>
    <x v="87"/>
    <x v="228"/>
    <x v="181"/>
    <x v="314"/>
  </r>
  <r>
    <x v="325"/>
    <x v="251"/>
    <x v="85"/>
    <x v="235"/>
    <x v="285"/>
    <x v="315"/>
  </r>
  <r>
    <x v="326"/>
    <x v="251"/>
    <x v="85"/>
    <x v="244"/>
    <x v="285"/>
    <x v="243"/>
  </r>
  <r>
    <x v="327"/>
    <x v="251"/>
    <x v="70"/>
    <x v="206"/>
    <x v="286"/>
    <x v="316"/>
  </r>
  <r>
    <x v="328"/>
    <x v="252"/>
    <x v="87"/>
    <x v="244"/>
    <x v="155"/>
    <x v="317"/>
  </r>
  <r>
    <x v="329"/>
    <x v="252"/>
    <x v="85"/>
    <x v="238"/>
    <x v="287"/>
    <x v="318"/>
  </r>
  <r>
    <x v="330"/>
    <x v="253"/>
    <x v="85"/>
    <x v="235"/>
    <x v="129"/>
    <x v="319"/>
  </r>
  <r>
    <x v="331"/>
    <x v="254"/>
    <x v="87"/>
    <x v="238"/>
    <x v="288"/>
    <x v="320"/>
  </r>
  <r>
    <x v="332"/>
    <x v="254"/>
    <x v="87"/>
    <x v="238"/>
    <x v="288"/>
    <x v="320"/>
  </r>
  <r>
    <x v="333"/>
    <x v="255"/>
    <x v="87"/>
    <x v="235"/>
    <x v="273"/>
    <x v="321"/>
  </r>
  <r>
    <x v="334"/>
    <x v="255"/>
    <x v="87"/>
    <x v="243"/>
    <x v="273"/>
    <x v="322"/>
  </r>
  <r>
    <x v="335"/>
    <x v="256"/>
    <x v="87"/>
    <x v="243"/>
    <x v="168"/>
    <x v="323"/>
  </r>
  <r>
    <x v="336"/>
    <x v="256"/>
    <x v="85"/>
    <x v="239"/>
    <x v="289"/>
    <x v="324"/>
  </r>
  <r>
    <x v="337"/>
    <x v="256"/>
    <x v="81"/>
    <x v="208"/>
    <x v="290"/>
    <x v="325"/>
  </r>
  <r>
    <x v="338"/>
    <x v="256"/>
    <x v="85"/>
    <x v="234"/>
    <x v="289"/>
    <x v="326"/>
  </r>
  <r>
    <x v="339"/>
    <x v="257"/>
    <x v="87"/>
    <x v="245"/>
    <x v="245"/>
    <x v="327"/>
  </r>
  <r>
    <x v="340"/>
    <x v="257"/>
    <x v="85"/>
    <x v="224"/>
    <x v="291"/>
    <x v="328"/>
  </r>
  <r>
    <x v="341"/>
    <x v="258"/>
    <x v="85"/>
    <x v="239"/>
    <x v="165"/>
    <x v="293"/>
  </r>
  <r>
    <x v="342"/>
    <x v="258"/>
    <x v="87"/>
    <x v="245"/>
    <x v="175"/>
    <x v="305"/>
  </r>
  <r>
    <x v="343"/>
    <x v="258"/>
    <x v="87"/>
    <x v="246"/>
    <x v="175"/>
    <x v="307"/>
  </r>
  <r>
    <x v="344"/>
    <x v="258"/>
    <x v="82"/>
    <x v="236"/>
    <x v="292"/>
    <x v="329"/>
  </r>
  <r>
    <x v="345"/>
    <x v="259"/>
    <x v="85"/>
    <x v="233"/>
    <x v="293"/>
    <x v="330"/>
  </r>
  <r>
    <x v="346"/>
    <x v="259"/>
    <x v="85"/>
    <x v="233"/>
    <x v="293"/>
    <x v="330"/>
  </r>
  <r>
    <x v="347"/>
    <x v="259"/>
    <x v="85"/>
    <x v="231"/>
    <x v="293"/>
    <x v="140"/>
  </r>
  <r>
    <x v="348"/>
    <x v="259"/>
    <x v="87"/>
    <x v="224"/>
    <x v="228"/>
    <x v="331"/>
  </r>
  <r>
    <x v="349"/>
    <x v="259"/>
    <x v="85"/>
    <x v="238"/>
    <x v="293"/>
    <x v="332"/>
  </r>
  <r>
    <x v="350"/>
    <x v="260"/>
    <x v="85"/>
    <x v="228"/>
    <x v="234"/>
    <x v="333"/>
  </r>
  <r>
    <x v="351"/>
    <x v="260"/>
    <x v="87"/>
    <x v="241"/>
    <x v="222"/>
    <x v="140"/>
  </r>
  <r>
    <x v="352"/>
    <x v="260"/>
    <x v="80"/>
    <x v="247"/>
    <x v="294"/>
    <x v="334"/>
  </r>
  <r>
    <x v="353"/>
    <x v="261"/>
    <x v="87"/>
    <x v="238"/>
    <x v="295"/>
    <x v="335"/>
  </r>
  <r>
    <x v="354"/>
    <x v="261"/>
    <x v="86"/>
    <x v="241"/>
    <x v="271"/>
    <x v="266"/>
  </r>
  <r>
    <x v="355"/>
    <x v="262"/>
    <x v="86"/>
    <x v="248"/>
    <x v="77"/>
    <x v="336"/>
  </r>
  <r>
    <x v="356"/>
    <x v="262"/>
    <x v="79"/>
    <x v="235"/>
    <x v="296"/>
    <x v="337"/>
  </r>
  <r>
    <x v="357"/>
    <x v="262"/>
    <x v="80"/>
    <x v="243"/>
    <x v="297"/>
    <x v="286"/>
  </r>
  <r>
    <x v="358"/>
    <x v="262"/>
    <x v="87"/>
    <x v="230"/>
    <x v="129"/>
    <x v="338"/>
  </r>
  <r>
    <x v="359"/>
    <x v="262"/>
    <x v="88"/>
    <x v="249"/>
    <x v="298"/>
    <x v="225"/>
  </r>
  <r>
    <x v="360"/>
    <x v="262"/>
    <x v="80"/>
    <x v="233"/>
    <x v="297"/>
    <x v="339"/>
  </r>
  <r>
    <x v="361"/>
    <x v="262"/>
    <x v="85"/>
    <x v="239"/>
    <x v="299"/>
    <x v="340"/>
  </r>
  <r>
    <x v="362"/>
    <x v="262"/>
    <x v="87"/>
    <x v="238"/>
    <x v="129"/>
    <x v="341"/>
  </r>
  <r>
    <x v="363"/>
    <x v="263"/>
    <x v="87"/>
    <x v="231"/>
    <x v="300"/>
    <x v="342"/>
  </r>
  <r>
    <x v="364"/>
    <x v="263"/>
    <x v="87"/>
    <x v="243"/>
    <x v="300"/>
    <x v="343"/>
  </r>
  <r>
    <x v="365"/>
    <x v="263"/>
    <x v="85"/>
    <x v="250"/>
    <x v="301"/>
    <x v="344"/>
  </r>
  <r>
    <x v="366"/>
    <x v="263"/>
    <x v="88"/>
    <x v="251"/>
    <x v="298"/>
    <x v="345"/>
  </r>
  <r>
    <x v="367"/>
    <x v="263"/>
    <x v="87"/>
    <x v="241"/>
    <x v="300"/>
    <x v="346"/>
  </r>
  <r>
    <x v="368"/>
    <x v="263"/>
    <x v="86"/>
    <x v="250"/>
    <x v="143"/>
    <x v="344"/>
  </r>
  <r>
    <x v="369"/>
    <x v="263"/>
    <x v="86"/>
    <x v="243"/>
    <x v="143"/>
    <x v="343"/>
  </r>
  <r>
    <x v="370"/>
    <x v="263"/>
    <x v="85"/>
    <x v="238"/>
    <x v="301"/>
    <x v="347"/>
  </r>
  <r>
    <x v="371"/>
    <x v="264"/>
    <x v="87"/>
    <x v="252"/>
    <x v="231"/>
    <x v="348"/>
  </r>
  <r>
    <x v="372"/>
    <x v="264"/>
    <x v="87"/>
    <x v="249"/>
    <x v="231"/>
    <x v="255"/>
  </r>
  <r>
    <x v="373"/>
    <x v="264"/>
    <x v="86"/>
    <x v="253"/>
    <x v="232"/>
    <x v="349"/>
  </r>
  <r>
    <x v="374"/>
    <x v="264"/>
    <x v="86"/>
    <x v="236"/>
    <x v="232"/>
    <x v="350"/>
  </r>
  <r>
    <x v="375"/>
    <x v="264"/>
    <x v="87"/>
    <x v="248"/>
    <x v="231"/>
    <x v="140"/>
  </r>
  <r>
    <x v="376"/>
    <x v="265"/>
    <x v="87"/>
    <x v="245"/>
    <x v="302"/>
    <x v="351"/>
  </r>
  <r>
    <x v="377"/>
    <x v="265"/>
    <x v="85"/>
    <x v="237"/>
    <x v="303"/>
    <x v="352"/>
  </r>
  <r>
    <x v="378"/>
    <x v="266"/>
    <x v="78"/>
    <x v="209"/>
    <x v="304"/>
    <x v="353"/>
  </r>
  <r>
    <x v="379"/>
    <x v="266"/>
    <x v="85"/>
    <x v="231"/>
    <x v="305"/>
    <x v="354"/>
  </r>
  <r>
    <x v="380"/>
    <x v="266"/>
    <x v="86"/>
    <x v="250"/>
    <x v="181"/>
    <x v="355"/>
  </r>
  <r>
    <x v="381"/>
    <x v="267"/>
    <x v="86"/>
    <x v="251"/>
    <x v="140"/>
    <x v="356"/>
  </r>
  <r>
    <x v="382"/>
    <x v="267"/>
    <x v="86"/>
    <x v="230"/>
    <x v="140"/>
    <x v="357"/>
  </r>
  <r>
    <x v="383"/>
    <x v="267"/>
    <x v="86"/>
    <x v="252"/>
    <x v="140"/>
    <x v="358"/>
  </r>
  <r>
    <x v="384"/>
    <x v="267"/>
    <x v="87"/>
    <x v="238"/>
    <x v="306"/>
    <x v="359"/>
  </r>
  <r>
    <x v="385"/>
    <x v="267"/>
    <x v="87"/>
    <x v="251"/>
    <x v="306"/>
    <x v="356"/>
  </r>
  <r>
    <x v="386"/>
    <x v="267"/>
    <x v="88"/>
    <x v="251"/>
    <x v="298"/>
    <x v="356"/>
  </r>
  <r>
    <x v="387"/>
    <x v="267"/>
    <x v="86"/>
    <x v="251"/>
    <x v="140"/>
    <x v="356"/>
  </r>
  <r>
    <x v="388"/>
    <x v="268"/>
    <x v="87"/>
    <x v="251"/>
    <x v="255"/>
    <x v="360"/>
  </r>
  <r>
    <x v="389"/>
    <x v="268"/>
    <x v="87"/>
    <x v="251"/>
    <x v="255"/>
    <x v="360"/>
  </r>
  <r>
    <x v="390"/>
    <x v="269"/>
    <x v="84"/>
    <x v="231"/>
    <x v="307"/>
    <x v="361"/>
  </r>
  <r>
    <x v="391"/>
    <x v="269"/>
    <x v="85"/>
    <x v="254"/>
    <x v="308"/>
    <x v="362"/>
  </r>
  <r>
    <x v="392"/>
    <x v="269"/>
    <x v="86"/>
    <x v="251"/>
    <x v="168"/>
    <x v="140"/>
  </r>
  <r>
    <x v="393"/>
    <x v="269"/>
    <x v="86"/>
    <x v="255"/>
    <x v="168"/>
    <x v="363"/>
  </r>
  <r>
    <x v="394"/>
    <x v="269"/>
    <x v="87"/>
    <x v="250"/>
    <x v="309"/>
    <x v="364"/>
  </r>
  <r>
    <x v="395"/>
    <x v="270"/>
    <x v="85"/>
    <x v="245"/>
    <x v="310"/>
    <x v="365"/>
  </r>
  <r>
    <x v="396"/>
    <x v="270"/>
    <x v="87"/>
    <x v="248"/>
    <x v="253"/>
    <x v="333"/>
  </r>
  <r>
    <x v="397"/>
    <x v="270"/>
    <x v="87"/>
    <x v="246"/>
    <x v="253"/>
    <x v="366"/>
  </r>
  <r>
    <x v="398"/>
    <x v="270"/>
    <x v="88"/>
    <x v="256"/>
    <x v="298"/>
    <x v="367"/>
  </r>
  <r>
    <x v="399"/>
    <x v="270"/>
    <x v="87"/>
    <x v="253"/>
    <x v="253"/>
    <x v="368"/>
  </r>
  <r>
    <x v="400"/>
    <x v="270"/>
    <x v="88"/>
    <x v="249"/>
    <x v="298"/>
    <x v="140"/>
  </r>
  <r>
    <x v="401"/>
    <x v="270"/>
    <x v="86"/>
    <x v="253"/>
    <x v="175"/>
    <x v="368"/>
  </r>
  <r>
    <x v="402"/>
    <x v="270"/>
    <x v="86"/>
    <x v="250"/>
    <x v="175"/>
    <x v="369"/>
  </r>
  <r>
    <x v="403"/>
    <x v="270"/>
    <x v="88"/>
    <x v="256"/>
    <x v="298"/>
    <x v="367"/>
  </r>
  <r>
    <x v="404"/>
    <x v="270"/>
    <x v="85"/>
    <x v="257"/>
    <x v="310"/>
    <x v="370"/>
  </r>
  <r>
    <x v="405"/>
    <x v="271"/>
    <x v="86"/>
    <x v="248"/>
    <x v="222"/>
    <x v="371"/>
  </r>
  <r>
    <x v="406"/>
    <x v="271"/>
    <x v="86"/>
    <x v="246"/>
    <x v="222"/>
    <x v="372"/>
  </r>
  <r>
    <x v="407"/>
    <x v="271"/>
    <x v="86"/>
    <x v="252"/>
    <x v="222"/>
    <x v="373"/>
  </r>
  <r>
    <x v="408"/>
    <x v="271"/>
    <x v="85"/>
    <x v="230"/>
    <x v="311"/>
    <x v="374"/>
  </r>
  <r>
    <x v="409"/>
    <x v="271"/>
    <x v="86"/>
    <x v="256"/>
    <x v="222"/>
    <x v="375"/>
  </r>
  <r>
    <x v="410"/>
    <x v="272"/>
    <x v="86"/>
    <x v="250"/>
    <x v="129"/>
    <x v="376"/>
  </r>
  <r>
    <x v="411"/>
    <x v="272"/>
    <x v="87"/>
    <x v="249"/>
    <x v="297"/>
    <x v="286"/>
  </r>
  <r>
    <x v="412"/>
    <x v="272"/>
    <x v="86"/>
    <x v="246"/>
    <x v="129"/>
    <x v="377"/>
  </r>
  <r>
    <x v="413"/>
    <x v="272"/>
    <x v="87"/>
    <x v="238"/>
    <x v="297"/>
    <x v="378"/>
  </r>
  <r>
    <x v="414"/>
    <x v="272"/>
    <x v="86"/>
    <x v="256"/>
    <x v="129"/>
    <x v="336"/>
  </r>
  <r>
    <x v="415"/>
    <x v="272"/>
    <x v="86"/>
    <x v="250"/>
    <x v="129"/>
    <x v="376"/>
  </r>
  <r>
    <x v="416"/>
    <x v="272"/>
    <x v="86"/>
    <x v="251"/>
    <x v="129"/>
    <x v="341"/>
  </r>
  <r>
    <x v="417"/>
    <x v="273"/>
    <x v="86"/>
    <x v="258"/>
    <x v="231"/>
    <x v="379"/>
  </r>
  <r>
    <x v="418"/>
    <x v="273"/>
    <x v="88"/>
    <x v="251"/>
    <x v="298"/>
    <x v="380"/>
  </r>
  <r>
    <x v="419"/>
    <x v="274"/>
    <x v="87"/>
    <x v="253"/>
    <x v="310"/>
    <x v="381"/>
  </r>
  <r>
    <x v="420"/>
    <x v="274"/>
    <x v="86"/>
    <x v="254"/>
    <x v="165"/>
    <x v="382"/>
  </r>
  <r>
    <x v="421"/>
    <x v="274"/>
    <x v="86"/>
    <x v="259"/>
    <x v="165"/>
    <x v="367"/>
  </r>
  <r>
    <x v="422"/>
    <x v="274"/>
    <x v="85"/>
    <x v="253"/>
    <x v="312"/>
    <x v="381"/>
  </r>
  <r>
    <x v="423"/>
    <x v="274"/>
    <x v="86"/>
    <x v="259"/>
    <x v="165"/>
    <x v="367"/>
  </r>
  <r>
    <x v="424"/>
    <x v="274"/>
    <x v="86"/>
    <x v="253"/>
    <x v="165"/>
    <x v="381"/>
  </r>
  <r>
    <x v="425"/>
    <x v="274"/>
    <x v="87"/>
    <x v="256"/>
    <x v="310"/>
    <x v="243"/>
  </r>
  <r>
    <x v="426"/>
    <x v="275"/>
    <x v="86"/>
    <x v="246"/>
    <x v="255"/>
    <x v="383"/>
  </r>
  <r>
    <x v="427"/>
    <x v="275"/>
    <x v="86"/>
    <x v="260"/>
    <x v="255"/>
    <x v="140"/>
  </r>
  <r>
    <x v="428"/>
    <x v="275"/>
    <x v="87"/>
    <x v="249"/>
    <x v="313"/>
    <x v="384"/>
  </r>
  <r>
    <x v="429"/>
    <x v="275"/>
    <x v="85"/>
    <x v="249"/>
    <x v="314"/>
    <x v="384"/>
  </r>
  <r>
    <x v="430"/>
    <x v="275"/>
    <x v="86"/>
    <x v="252"/>
    <x v="255"/>
    <x v="385"/>
  </r>
  <r>
    <x v="431"/>
    <x v="275"/>
    <x v="87"/>
    <x v="255"/>
    <x v="313"/>
    <x v="386"/>
  </r>
  <r>
    <x v="432"/>
    <x v="275"/>
    <x v="87"/>
    <x v="255"/>
    <x v="313"/>
    <x v="386"/>
  </r>
  <r>
    <x v="433"/>
    <x v="275"/>
    <x v="88"/>
    <x v="261"/>
    <x v="298"/>
    <x v="387"/>
  </r>
  <r>
    <x v="434"/>
    <x v="275"/>
    <x v="87"/>
    <x v="250"/>
    <x v="313"/>
    <x v="388"/>
  </r>
  <r>
    <x v="435"/>
    <x v="275"/>
    <x v="87"/>
    <x v="250"/>
    <x v="313"/>
    <x v="388"/>
  </r>
  <r>
    <x v="436"/>
    <x v="276"/>
    <x v="88"/>
    <x v="262"/>
    <x v="298"/>
    <x v="305"/>
  </r>
  <r>
    <x v="437"/>
    <x v="276"/>
    <x v="88"/>
    <x v="260"/>
    <x v="298"/>
    <x v="366"/>
  </r>
  <r>
    <x v="438"/>
    <x v="276"/>
    <x v="87"/>
    <x v="246"/>
    <x v="315"/>
    <x v="370"/>
  </r>
  <r>
    <x v="439"/>
    <x v="276"/>
    <x v="88"/>
    <x v="258"/>
    <x v="298"/>
    <x v="365"/>
  </r>
  <r>
    <x v="440"/>
    <x v="276"/>
    <x v="88"/>
    <x v="260"/>
    <x v="298"/>
    <x v="366"/>
  </r>
  <r>
    <x v="441"/>
    <x v="276"/>
    <x v="88"/>
    <x v="263"/>
    <x v="298"/>
    <x v="389"/>
  </r>
  <r>
    <x v="442"/>
    <x v="276"/>
    <x v="86"/>
    <x v="249"/>
    <x v="253"/>
    <x v="383"/>
  </r>
  <r>
    <x v="443"/>
    <x v="277"/>
    <x v="88"/>
    <x v="264"/>
    <x v="298"/>
    <x v="390"/>
  </r>
  <r>
    <x v="444"/>
    <x v="277"/>
    <x v="87"/>
    <x v="255"/>
    <x v="316"/>
    <x v="391"/>
  </r>
  <r>
    <x v="445"/>
    <x v="277"/>
    <x v="88"/>
    <x v="261"/>
    <x v="298"/>
    <x v="327"/>
  </r>
  <r>
    <x v="446"/>
    <x v="277"/>
    <x v="86"/>
    <x v="263"/>
    <x v="297"/>
    <x v="225"/>
  </r>
  <r>
    <x v="447"/>
    <x v="277"/>
    <x v="86"/>
    <x v="262"/>
    <x v="297"/>
    <x v="140"/>
  </r>
  <r>
    <x v="448"/>
    <x v="277"/>
    <x v="85"/>
    <x v="246"/>
    <x v="317"/>
    <x v="392"/>
  </r>
  <r>
    <x v="449"/>
    <x v="277"/>
    <x v="88"/>
    <x v="264"/>
    <x v="298"/>
    <x v="390"/>
  </r>
  <r>
    <x v="450"/>
    <x v="277"/>
    <x v="87"/>
    <x v="251"/>
    <x v="316"/>
    <x v="378"/>
  </r>
  <r>
    <x v="451"/>
    <x v="278"/>
    <x v="86"/>
    <x v="251"/>
    <x v="310"/>
    <x v="393"/>
  </r>
  <r>
    <x v="452"/>
    <x v="278"/>
    <x v="86"/>
    <x v="260"/>
    <x v="310"/>
    <x v="394"/>
  </r>
  <r>
    <x v="453"/>
    <x v="278"/>
    <x v="86"/>
    <x v="262"/>
    <x v="310"/>
    <x v="395"/>
  </r>
  <r>
    <x v="454"/>
    <x v="278"/>
    <x v="86"/>
    <x v="260"/>
    <x v="310"/>
    <x v="394"/>
  </r>
  <r>
    <x v="455"/>
    <x v="278"/>
    <x v="88"/>
    <x v="262"/>
    <x v="298"/>
    <x v="395"/>
  </r>
  <r>
    <x v="456"/>
    <x v="278"/>
    <x v="86"/>
    <x v="263"/>
    <x v="310"/>
    <x v="367"/>
  </r>
  <r>
    <x v="457"/>
    <x v="278"/>
    <x v="86"/>
    <x v="262"/>
    <x v="310"/>
    <x v="395"/>
  </r>
  <r>
    <x v="458"/>
    <x v="278"/>
    <x v="85"/>
    <x v="255"/>
    <x v="318"/>
    <x v="383"/>
  </r>
  <r>
    <x v="459"/>
    <x v="278"/>
    <x v="87"/>
    <x v="255"/>
    <x v="319"/>
    <x v="383"/>
  </r>
  <r>
    <x v="460"/>
    <x v="278"/>
    <x v="88"/>
    <x v="263"/>
    <x v="298"/>
    <x v="367"/>
  </r>
  <r>
    <x v="461"/>
    <x v="278"/>
    <x v="88"/>
    <x v="264"/>
    <x v="298"/>
    <x v="389"/>
  </r>
  <r>
    <x v="462"/>
    <x v="278"/>
    <x v="86"/>
    <x v="264"/>
    <x v="310"/>
    <x v="389"/>
  </r>
  <r>
    <x v="463"/>
    <x v="279"/>
    <x v="86"/>
    <x v="262"/>
    <x v="315"/>
    <x v="365"/>
  </r>
  <r>
    <x v="464"/>
    <x v="279"/>
    <x v="88"/>
    <x v="261"/>
    <x v="298"/>
    <x v="296"/>
  </r>
  <r>
    <x v="465"/>
    <x v="279"/>
    <x v="85"/>
    <x v="258"/>
    <x v="320"/>
    <x v="396"/>
  </r>
  <r>
    <x v="466"/>
    <x v="279"/>
    <x v="86"/>
    <x v="259"/>
    <x v="315"/>
    <x v="383"/>
  </r>
  <r>
    <x v="467"/>
    <x v="279"/>
    <x v="86"/>
    <x v="260"/>
    <x v="315"/>
    <x v="370"/>
  </r>
  <r>
    <x v="468"/>
    <x v="279"/>
    <x v="88"/>
    <x v="263"/>
    <x v="298"/>
    <x v="140"/>
  </r>
  <r>
    <x v="469"/>
    <x v="279"/>
    <x v="87"/>
    <x v="262"/>
    <x v="321"/>
    <x v="365"/>
  </r>
  <r>
    <x v="470"/>
    <x v="279"/>
    <x v="87"/>
    <x v="259"/>
    <x v="321"/>
    <x v="383"/>
  </r>
  <r>
    <x v="471"/>
    <x v="279"/>
    <x v="87"/>
    <x v="259"/>
    <x v="321"/>
    <x v="383"/>
  </r>
  <r>
    <x v="472"/>
    <x v="279"/>
    <x v="86"/>
    <x v="262"/>
    <x v="315"/>
    <x v="365"/>
  </r>
  <r>
    <x v="473"/>
    <x v="279"/>
    <x v="86"/>
    <x v="260"/>
    <x v="315"/>
    <x v="370"/>
  </r>
  <r>
    <x v="474"/>
    <x v="280"/>
    <x v="86"/>
    <x v="263"/>
    <x v="319"/>
    <x v="333"/>
  </r>
  <r>
    <x v="475"/>
    <x v="280"/>
    <x v="86"/>
    <x v="255"/>
    <x v="319"/>
    <x v="397"/>
  </r>
  <r>
    <x v="476"/>
    <x v="280"/>
    <x v="87"/>
    <x v="263"/>
    <x v="320"/>
    <x v="333"/>
  </r>
  <r>
    <x v="477"/>
    <x v="280"/>
    <x v="86"/>
    <x v="258"/>
    <x v="319"/>
    <x v="398"/>
  </r>
  <r>
    <x v="478"/>
    <x v="280"/>
    <x v="88"/>
    <x v="264"/>
    <x v="298"/>
    <x v="140"/>
  </r>
  <r>
    <x v="479"/>
    <x v="280"/>
    <x v="86"/>
    <x v="261"/>
    <x v="319"/>
    <x v="383"/>
  </r>
  <r>
    <x v="480"/>
    <x v="280"/>
    <x v="86"/>
    <x v="260"/>
    <x v="319"/>
    <x v="399"/>
  </r>
  <r>
    <x v="481"/>
    <x v="280"/>
    <x v="88"/>
    <x v="264"/>
    <x v="298"/>
    <x v="140"/>
  </r>
  <r>
    <x v="482"/>
    <x v="280"/>
    <x v="80"/>
    <x v="258"/>
    <x v="322"/>
    <x v="398"/>
  </r>
  <r>
    <x v="483"/>
    <x v="280"/>
    <x v="86"/>
    <x v="264"/>
    <x v="319"/>
    <x v="140"/>
  </r>
  <r>
    <x v="484"/>
    <x v="280"/>
    <x v="86"/>
    <x v="262"/>
    <x v="319"/>
    <x v="400"/>
  </r>
  <r>
    <x v="485"/>
    <x v="281"/>
    <x v="86"/>
    <x v="264"/>
    <x v="320"/>
    <x v="383"/>
  </r>
  <r>
    <x v="486"/>
    <x v="281"/>
    <x v="88"/>
    <x v="264"/>
    <x v="298"/>
    <x v="383"/>
  </r>
  <r>
    <x v="487"/>
    <x v="281"/>
    <x v="87"/>
    <x v="259"/>
    <x v="322"/>
    <x v="401"/>
  </r>
  <r>
    <x v="488"/>
    <x v="281"/>
    <x v="86"/>
    <x v="263"/>
    <x v="320"/>
    <x v="402"/>
  </r>
  <r>
    <x v="489"/>
    <x v="281"/>
    <x v="88"/>
    <x v="265"/>
    <x v="298"/>
    <x v="140"/>
  </r>
  <r>
    <x v="490"/>
    <x v="281"/>
    <x v="88"/>
    <x v="262"/>
    <x v="298"/>
    <x v="398"/>
  </r>
  <r>
    <x v="491"/>
    <x v="281"/>
    <x v="86"/>
    <x v="263"/>
    <x v="320"/>
    <x v="402"/>
  </r>
  <r>
    <x v="492"/>
    <x v="281"/>
    <x v="86"/>
    <x v="263"/>
    <x v="320"/>
    <x v="402"/>
  </r>
  <r>
    <x v="493"/>
    <x v="281"/>
    <x v="88"/>
    <x v="264"/>
    <x v="298"/>
    <x v="383"/>
  </r>
  <r>
    <x v="494"/>
    <x v="281"/>
    <x v="88"/>
    <x v="265"/>
    <x v="298"/>
    <x v="140"/>
  </r>
  <r>
    <x v="495"/>
    <x v="281"/>
    <x v="86"/>
    <x v="263"/>
    <x v="320"/>
    <x v="402"/>
  </r>
  <r>
    <x v="496"/>
    <x v="281"/>
    <x v="86"/>
    <x v="263"/>
    <x v="320"/>
    <x v="402"/>
  </r>
  <r>
    <x v="497"/>
    <x v="281"/>
    <x v="88"/>
    <x v="265"/>
    <x v="298"/>
    <x v="140"/>
  </r>
  <r>
    <x v="498"/>
    <x v="281"/>
    <x v="86"/>
    <x v="260"/>
    <x v="320"/>
    <x v="403"/>
  </r>
  <r>
    <x v="499"/>
    <x v="281"/>
    <x v="86"/>
    <x v="264"/>
    <x v="320"/>
    <x v="383"/>
  </r>
  <r>
    <x v="500"/>
    <x v="282"/>
    <x v="86"/>
    <x v="265"/>
    <x v="323"/>
    <x v="404"/>
  </r>
  <r>
    <x v="501"/>
    <x v="282"/>
    <x v="86"/>
    <x v="265"/>
    <x v="323"/>
    <x v="404"/>
  </r>
  <r>
    <x v="502"/>
    <x v="282"/>
    <x v="88"/>
    <x v="265"/>
    <x v="298"/>
    <x v="404"/>
  </r>
  <r>
    <x v="503"/>
    <x v="282"/>
    <x v="88"/>
    <x v="265"/>
    <x v="298"/>
    <x v="404"/>
  </r>
  <r>
    <x v="504"/>
    <x v="282"/>
    <x v="88"/>
    <x v="265"/>
    <x v="298"/>
    <x v="404"/>
  </r>
  <r>
    <x v="505"/>
    <x v="282"/>
    <x v="86"/>
    <x v="265"/>
    <x v="323"/>
    <x v="404"/>
  </r>
  <r>
    <x v="506"/>
    <x v="282"/>
    <x v="87"/>
    <x v="264"/>
    <x v="323"/>
    <x v="404"/>
  </r>
  <r>
    <x v="507"/>
    <x v="282"/>
    <x v="86"/>
    <x v="264"/>
    <x v="323"/>
    <x v="404"/>
  </r>
  <r>
    <x v="508"/>
    <x v="282"/>
    <x v="88"/>
    <x v="264"/>
    <x v="298"/>
    <x v="404"/>
  </r>
  <r>
    <x v="509"/>
    <x v="282"/>
    <x v="88"/>
    <x v="264"/>
    <x v="298"/>
    <x v="404"/>
  </r>
  <r>
    <x v="510"/>
    <x v="282"/>
    <x v="86"/>
    <x v="265"/>
    <x v="323"/>
    <x v="404"/>
  </r>
  <r>
    <x v="511"/>
    <x v="282"/>
    <x v="86"/>
    <x v="251"/>
    <x v="323"/>
    <x v="404"/>
  </r>
  <r>
    <x v="512"/>
    <x v="282"/>
    <x v="86"/>
    <x v="265"/>
    <x v="323"/>
    <x v="404"/>
  </r>
  <r>
    <x v="513"/>
    <x v="282"/>
    <x v="87"/>
    <x v="256"/>
    <x v="323"/>
    <x v="404"/>
  </r>
  <r>
    <x v="514"/>
    <x v="282"/>
    <x v="86"/>
    <x v="265"/>
    <x v="323"/>
    <x v="404"/>
  </r>
  <r>
    <x v="515"/>
    <x v="282"/>
    <x v="86"/>
    <x v="265"/>
    <x v="323"/>
    <x v="404"/>
  </r>
  <r>
    <x v="516"/>
    <x v="283"/>
    <x v="89"/>
    <x v="266"/>
    <x v="298"/>
    <x v="4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Batsman">
  <location ref="G3:I15" firstHeaderRow="1" firstDataRow="2" firstDataCol="1"/>
  <pivotFields count="6">
    <pivotField axis="axisRow" showAll="0" measureFilter="1" sortType="descending">
      <items count="518">
        <item x="146"/>
        <item x="454"/>
        <item x="280"/>
        <item x="339"/>
        <item x="455"/>
        <item x="272"/>
        <item x="189"/>
        <item x="386"/>
        <item x="316"/>
        <item x="126"/>
        <item x="320"/>
        <item x="367"/>
        <item x="297"/>
        <item x="482"/>
        <item x="72"/>
        <item x="465"/>
        <item x="452"/>
        <item x="444"/>
        <item x="263"/>
        <item x="401"/>
        <item x="157"/>
        <item x="417"/>
        <item x="173"/>
        <item x="294"/>
        <item x="8"/>
        <item x="337"/>
        <item x="209"/>
        <item x="509"/>
        <item x="213"/>
        <item x="28"/>
        <item x="358"/>
        <item x="172"/>
        <item x="251"/>
        <item x="87"/>
        <item x="240"/>
        <item x="49"/>
        <item x="429"/>
        <item x="412"/>
        <item x="290"/>
        <item x="39"/>
        <item x="235"/>
        <item x="119"/>
        <item x="90"/>
        <item x="10"/>
        <item x="314"/>
        <item x="431"/>
        <item x="271"/>
        <item x="185"/>
        <item x="432"/>
        <item x="307"/>
        <item x="319"/>
        <item x="245"/>
        <item x="130"/>
        <item x="400"/>
        <item x="80"/>
        <item x="377"/>
        <item x="162"/>
        <item x="69"/>
        <item x="13"/>
        <item x="302"/>
        <item x="460"/>
        <item x="122"/>
        <item x="254"/>
        <item x="147"/>
        <item x="168"/>
        <item x="450"/>
        <item x="207"/>
        <item x="443"/>
        <item x="317"/>
        <item x="440"/>
        <item x="92"/>
        <item x="324"/>
        <item x="470"/>
        <item x="15"/>
        <item x="206"/>
        <item x="406"/>
        <item x="153"/>
        <item x="492"/>
        <item x="166"/>
        <item x="373"/>
        <item x="51"/>
        <item x="163"/>
        <item x="345"/>
        <item x="300"/>
        <item x="137"/>
        <item x="167"/>
        <item x="382"/>
        <item x="174"/>
        <item x="501"/>
        <item x="353"/>
        <item x="56"/>
        <item x="121"/>
        <item x="5"/>
        <item x="103"/>
        <item x="99"/>
        <item x="232"/>
        <item x="463"/>
        <item x="420"/>
        <item x="379"/>
        <item x="425"/>
        <item x="73"/>
        <item x="178"/>
        <item x="171"/>
        <item x="269"/>
        <item x="456"/>
        <item x="416"/>
        <item x="467"/>
        <item x="323"/>
        <item x="394"/>
        <item x="217"/>
        <item x="201"/>
        <item x="35"/>
        <item x="3"/>
        <item x="398"/>
        <item x="136"/>
        <item x="124"/>
        <item x="354"/>
        <item x="176"/>
        <item x="45"/>
        <item x="222"/>
        <item x="102"/>
        <item x="54"/>
        <item x="237"/>
        <item x="495"/>
        <item x="303"/>
        <item x="142"/>
        <item x="261"/>
        <item x="212"/>
        <item x="436"/>
        <item x="409"/>
        <item x="451"/>
        <item x="494"/>
        <item x="36"/>
        <item x="364"/>
        <item x="24"/>
        <item x="228"/>
        <item x="375"/>
        <item x="110"/>
        <item x="392"/>
        <item x="181"/>
        <item x="112"/>
        <item x="78"/>
        <item x="343"/>
        <item x="388"/>
        <item x="34"/>
        <item x="453"/>
        <item x="169"/>
        <item x="9"/>
        <item x="351"/>
        <item x="86"/>
        <item x="457"/>
        <item x="145"/>
        <item x="91"/>
        <item x="50"/>
        <item x="383"/>
        <item x="111"/>
        <item x="359"/>
        <item x="484"/>
        <item x="490"/>
        <item x="264"/>
        <item x="459"/>
        <item x="469"/>
        <item x="79"/>
        <item x="372"/>
        <item x="362"/>
        <item x="76"/>
        <item x="64"/>
        <item x="97"/>
        <item x="223"/>
        <item x="433"/>
        <item x="277"/>
        <item x="435"/>
        <item x="507"/>
        <item x="60"/>
        <item x="360"/>
        <item x="243"/>
        <item x="255"/>
        <item x="88"/>
        <item x="246"/>
        <item x="347"/>
        <item x="109"/>
        <item x="117"/>
        <item x="512"/>
        <item x="421"/>
        <item x="278"/>
        <item x="331"/>
        <item x="411"/>
        <item x="439"/>
        <item x="71"/>
        <item x="419"/>
        <item x="52"/>
        <item x="94"/>
        <item x="275"/>
        <item x="224"/>
        <item x="296"/>
        <item x="468"/>
        <item x="132"/>
        <item x="23"/>
        <item x="309"/>
        <item x="170"/>
        <item x="371"/>
        <item x="335"/>
        <item x="306"/>
        <item x="313"/>
        <item x="30"/>
        <item x="101"/>
        <item x="115"/>
        <item x="500"/>
        <item x="156"/>
        <item x="192"/>
        <item x="357"/>
        <item x="262"/>
        <item x="403"/>
        <item x="18"/>
        <item x="414"/>
        <item x="200"/>
        <item x="472"/>
        <item x="402"/>
        <item x="285"/>
        <item x="341"/>
        <item x="42"/>
        <item x="11"/>
        <item x="75"/>
        <item x="393"/>
        <item x="218"/>
        <item x="47"/>
        <item x="31"/>
        <item x="63"/>
        <item x="449"/>
        <item x="474"/>
        <item x="68"/>
        <item x="55"/>
        <item x="292"/>
        <item x="134"/>
        <item x="312"/>
        <item x="508"/>
        <item x="311"/>
        <item x="260"/>
        <item x="491"/>
        <item x="321"/>
        <item x="248"/>
        <item x="139"/>
        <item x="489"/>
        <item x="225"/>
        <item x="65"/>
        <item x="298"/>
        <item x="118"/>
        <item x="66"/>
        <item x="138"/>
        <item x="458"/>
        <item x="499"/>
        <item x="151"/>
        <item x="221"/>
        <item x="258"/>
        <item x="334"/>
        <item x="104"/>
        <item x="330"/>
        <item x="204"/>
        <item x="356"/>
        <item x="405"/>
        <item x="276"/>
        <item x="322"/>
        <item x="399"/>
        <item x="21"/>
        <item x="67"/>
        <item x="496"/>
        <item x="58"/>
        <item x="342"/>
        <item x="233"/>
        <item x="44"/>
        <item x="478"/>
        <item x="74"/>
        <item x="205"/>
        <item x="154"/>
        <item x="389"/>
        <item x="32"/>
        <item x="175"/>
        <item x="179"/>
        <item x="215"/>
        <item x="231"/>
        <item x="149"/>
        <item x="148"/>
        <item x="242"/>
        <item x="17"/>
        <item x="40"/>
        <item x="61"/>
        <item x="304"/>
        <item x="208"/>
        <item x="184"/>
        <item x="180"/>
        <item x="477"/>
        <item x="471"/>
        <item x="268"/>
        <item x="193"/>
        <item x="279"/>
        <item x="326"/>
        <item x="108"/>
        <item x="155"/>
        <item x="81"/>
        <item x="6"/>
        <item x="229"/>
        <item x="350"/>
        <item x="488"/>
        <item x="120"/>
        <item x="430"/>
        <item x="177"/>
        <item x="62"/>
        <item x="194"/>
        <item x="511"/>
        <item x="211"/>
        <item x="361"/>
        <item x="497"/>
        <item x="336"/>
        <item x="113"/>
        <item x="283"/>
        <item x="348"/>
        <item x="43"/>
        <item x="106"/>
        <item x="448"/>
        <item x="423"/>
        <item x="202"/>
        <item x="498"/>
        <item x="129"/>
        <item x="127"/>
        <item x="493"/>
        <item x="369"/>
        <item x="504"/>
        <item x="366"/>
        <item x="95"/>
        <item x="16"/>
        <item x="182"/>
        <item x="428"/>
        <item x="376"/>
        <item x="107"/>
        <item x="159"/>
        <item x="252"/>
        <item x="344"/>
        <item x="486"/>
        <item x="96"/>
        <item x="378"/>
        <item x="236"/>
        <item x="442"/>
        <item x="374"/>
        <item x="46"/>
        <item x="123"/>
        <item x="128"/>
        <item x="434"/>
        <item x="365"/>
        <item x="188"/>
        <item x="27"/>
        <item x="187"/>
        <item x="466"/>
        <item x="183"/>
        <item x="286"/>
        <item x="445"/>
        <item x="150"/>
        <item x="267"/>
        <item x="363"/>
        <item x="266"/>
        <item x="220"/>
        <item x="135"/>
        <item x="33"/>
        <item x="84"/>
        <item x="226"/>
        <item x="385"/>
        <item x="247"/>
        <item x="186"/>
        <item x="481"/>
        <item x="2"/>
        <item x="214"/>
        <item x="325"/>
        <item x="227"/>
        <item x="133"/>
        <item x="282"/>
        <item x="506"/>
        <item x="38"/>
        <item x="265"/>
        <item x="355"/>
        <item x="281"/>
        <item x="259"/>
        <item x="100"/>
        <item x="475"/>
        <item x="461"/>
        <item x="239"/>
        <item x="287"/>
        <item x="7"/>
        <item x="196"/>
        <item x="273"/>
        <item x="390"/>
        <item x="48"/>
        <item x="340"/>
        <item x="234"/>
        <item x="4"/>
        <item x="299"/>
        <item x="105"/>
        <item x="199"/>
        <item x="241"/>
        <item x="404"/>
        <item x="515"/>
        <item x="513"/>
        <item x="505"/>
        <item x="391"/>
        <item x="327"/>
        <item x="308"/>
        <item x="238"/>
        <item x="479"/>
        <item x="253"/>
        <item x="441"/>
        <item x="380"/>
        <item x="125"/>
        <item x="318"/>
        <item x="328"/>
        <item x="464"/>
        <item x="191"/>
        <item x="381"/>
        <item x="114"/>
        <item x="93"/>
        <item x="195"/>
        <item x="164"/>
        <item x="338"/>
        <item x="288"/>
        <item x="333"/>
        <item x="438"/>
        <item x="197"/>
        <item x="476"/>
        <item x="53"/>
        <item x="230"/>
        <item x="387"/>
        <item x="485"/>
        <item x="22"/>
        <item x="250"/>
        <item x="85"/>
        <item x="446"/>
        <item x="487"/>
        <item x="480"/>
        <item x="284"/>
        <item x="447"/>
        <item x="1"/>
        <item x="295"/>
        <item x="160"/>
        <item x="244"/>
        <item x="418"/>
        <item x="152"/>
        <item x="190"/>
        <item x="415"/>
        <item x="116"/>
        <item x="315"/>
        <item x="310"/>
        <item x="161"/>
        <item x="141"/>
        <item x="305"/>
        <item x="82"/>
        <item x="29"/>
        <item x="25"/>
        <item x="12"/>
        <item x="41"/>
        <item x="437"/>
        <item x="57"/>
        <item x="83"/>
        <item x="77"/>
        <item x="510"/>
        <item x="293"/>
        <item x="26"/>
        <item x="131"/>
        <item x="349"/>
        <item x="395"/>
        <item x="346"/>
        <item x="407"/>
        <item x="408"/>
        <item x="329"/>
        <item x="396"/>
        <item x="397"/>
        <item x="413"/>
        <item x="219"/>
        <item x="89"/>
        <item x="59"/>
        <item x="158"/>
        <item x="424"/>
        <item x="256"/>
        <item x="422"/>
        <item x="503"/>
        <item x="426"/>
        <item x="140"/>
        <item x="301"/>
        <item x="203"/>
        <item x="210"/>
        <item x="0"/>
        <item x="514"/>
        <item x="20"/>
        <item x="98"/>
        <item x="332"/>
        <item x="370"/>
        <item x="289"/>
        <item x="462"/>
        <item x="427"/>
        <item x="483"/>
        <item x="144"/>
        <item x="384"/>
        <item x="198"/>
        <item x="274"/>
        <item x="257"/>
        <item x="270"/>
        <item x="37"/>
        <item x="249"/>
        <item x="410"/>
        <item x="368"/>
        <item x="143"/>
        <item x="70"/>
        <item x="502"/>
        <item x="291"/>
        <item x="14"/>
        <item x="473"/>
        <item x="352"/>
        <item x="19"/>
        <item x="165"/>
        <item x="216"/>
        <item x="5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>
      <items count="268">
        <item x="265"/>
        <item x="264"/>
        <item x="263"/>
        <item x="261"/>
        <item x="262"/>
        <item x="259"/>
        <item x="260"/>
        <item x="255"/>
        <item x="256"/>
        <item x="258"/>
        <item x="253"/>
        <item x="249"/>
        <item x="251"/>
        <item x="246"/>
        <item x="254"/>
        <item x="252"/>
        <item x="250"/>
        <item x="248"/>
        <item x="230"/>
        <item x="245"/>
        <item x="239"/>
        <item x="241"/>
        <item x="231"/>
        <item x="243"/>
        <item x="227"/>
        <item x="238"/>
        <item x="233"/>
        <item x="257"/>
        <item x="235"/>
        <item x="237"/>
        <item x="224"/>
        <item x="228"/>
        <item x="242"/>
        <item x="229"/>
        <item x="244"/>
        <item x="240"/>
        <item x="234"/>
        <item x="236"/>
        <item x="232"/>
        <item x="225"/>
        <item x="209"/>
        <item x="202"/>
        <item x="208"/>
        <item x="247"/>
        <item x="221"/>
        <item x="205"/>
        <item x="219"/>
        <item x="217"/>
        <item x="203"/>
        <item x="223"/>
        <item x="197"/>
        <item x="215"/>
        <item x="211"/>
        <item x="204"/>
        <item x="226"/>
        <item x="190"/>
        <item x="201"/>
        <item x="222"/>
        <item x="191"/>
        <item x="212"/>
        <item x="214"/>
        <item x="189"/>
        <item x="216"/>
        <item x="193"/>
        <item x="218"/>
        <item x="220"/>
        <item x="199"/>
        <item x="207"/>
        <item x="200"/>
        <item x="206"/>
        <item x="176"/>
        <item x="188"/>
        <item x="213"/>
        <item x="171"/>
        <item x="210"/>
        <item x="187"/>
        <item x="177"/>
        <item x="172"/>
        <item x="194"/>
        <item x="182"/>
        <item x="198"/>
        <item x="196"/>
        <item x="184"/>
        <item x="179"/>
        <item x="174"/>
        <item x="192"/>
        <item x="161"/>
        <item x="167"/>
        <item x="186"/>
        <item x="157"/>
        <item x="170"/>
        <item x="181"/>
        <item x="195"/>
        <item x="183"/>
        <item x="169"/>
        <item x="152"/>
        <item x="160"/>
        <item x="185"/>
        <item x="165"/>
        <item x="180"/>
        <item x="162"/>
        <item x="175"/>
        <item x="156"/>
        <item x="178"/>
        <item x="141"/>
        <item x="158"/>
        <item x="173"/>
        <item x="145"/>
        <item x="159"/>
        <item x="153"/>
        <item x="146"/>
        <item x="163"/>
        <item x="164"/>
        <item x="150"/>
        <item x="148"/>
        <item x="149"/>
        <item x="168"/>
        <item x="166"/>
        <item x="155"/>
        <item x="129"/>
        <item x="151"/>
        <item x="140"/>
        <item x="154"/>
        <item x="135"/>
        <item x="136"/>
        <item x="137"/>
        <item x="142"/>
        <item x="144"/>
        <item x="147"/>
        <item x="128"/>
        <item x="143"/>
        <item x="138"/>
        <item x="124"/>
        <item x="131"/>
        <item x="130"/>
        <item x="139"/>
        <item x="122"/>
        <item x="132"/>
        <item x="127"/>
        <item x="133"/>
        <item x="125"/>
        <item x="126"/>
        <item x="121"/>
        <item x="103"/>
        <item x="108"/>
        <item x="119"/>
        <item x="117"/>
        <item x="123"/>
        <item x="114"/>
        <item x="106"/>
        <item x="112"/>
        <item x="134"/>
        <item x="120"/>
        <item x="116"/>
        <item x="97"/>
        <item x="115"/>
        <item x="107"/>
        <item x="105"/>
        <item x="110"/>
        <item x="111"/>
        <item x="109"/>
        <item x="102"/>
        <item x="104"/>
        <item x="99"/>
        <item x="118"/>
        <item x="100"/>
        <item x="95"/>
        <item x="113"/>
        <item x="92"/>
        <item x="96"/>
        <item x="101"/>
        <item x="93"/>
        <item x="90"/>
        <item x="94"/>
        <item x="89"/>
        <item x="79"/>
        <item x="88"/>
        <item x="98"/>
        <item x="87"/>
        <item x="91"/>
        <item x="80"/>
        <item x="86"/>
        <item x="81"/>
        <item x="84"/>
        <item x="85"/>
        <item x="82"/>
        <item x="76"/>
        <item x="73"/>
        <item x="77"/>
        <item x="83"/>
        <item x="69"/>
        <item x="74"/>
        <item x="63"/>
        <item x="78"/>
        <item x="75"/>
        <item x="66"/>
        <item x="67"/>
        <item x="70"/>
        <item x="48"/>
        <item x="72"/>
        <item x="71"/>
        <item x="65"/>
        <item x="60"/>
        <item x="61"/>
        <item x="64"/>
        <item x="68"/>
        <item x="62"/>
        <item x="49"/>
        <item x="55"/>
        <item x="51"/>
        <item x="59"/>
        <item x="54"/>
        <item x="57"/>
        <item x="58"/>
        <item x="56"/>
        <item x="53"/>
        <item x="37"/>
        <item x="45"/>
        <item x="50"/>
        <item x="46"/>
        <item x="44"/>
        <item x="47"/>
        <item x="43"/>
        <item x="52"/>
        <item x="42"/>
        <item x="40"/>
        <item x="34"/>
        <item x="38"/>
        <item x="36"/>
        <item x="41"/>
        <item x="30"/>
        <item x="39"/>
        <item x="33"/>
        <item x="35"/>
        <item x="27"/>
        <item x="32"/>
        <item x="28"/>
        <item x="31"/>
        <item x="29"/>
        <item x="25"/>
        <item x="19"/>
        <item x="23"/>
        <item x="21"/>
        <item x="26"/>
        <item x="17"/>
        <item x="24"/>
        <item x="20"/>
        <item x="18"/>
        <item x="15"/>
        <item x="22"/>
        <item x="14"/>
        <item x="16"/>
        <item x="12"/>
        <item x="13"/>
        <item x="11"/>
        <item x="8"/>
        <item x="5"/>
        <item x="10"/>
        <item x="6"/>
        <item x="3"/>
        <item x="7"/>
        <item x="9"/>
        <item x="4"/>
        <item x="2"/>
        <item x="1"/>
        <item x="0"/>
        <item x="266"/>
        <item t="default"/>
      </items>
    </pivotField>
    <pivotField showAll="0">
      <items count="325">
        <item x="323"/>
        <item x="322"/>
        <item x="320"/>
        <item x="318"/>
        <item x="321"/>
        <item x="304"/>
        <item x="317"/>
        <item x="319"/>
        <item x="286"/>
        <item x="314"/>
        <item x="316"/>
        <item x="307"/>
        <item x="312"/>
        <item x="290"/>
        <item x="315"/>
        <item x="296"/>
        <item x="292"/>
        <item x="262"/>
        <item x="313"/>
        <item x="311"/>
        <item x="310"/>
        <item x="308"/>
        <item x="297"/>
        <item x="274"/>
        <item x="279"/>
        <item x="272"/>
        <item x="305"/>
        <item x="294"/>
        <item x="303"/>
        <item x="253"/>
        <item x="301"/>
        <item x="309"/>
        <item x="299"/>
        <item x="283"/>
        <item x="255"/>
        <item x="265"/>
        <item x="234"/>
        <item x="263"/>
        <item x="306"/>
        <item x="177"/>
        <item x="276"/>
        <item x="293"/>
        <item x="209"/>
        <item x="259"/>
        <item x="240"/>
        <item x="165"/>
        <item x="266"/>
        <item x="291"/>
        <item x="302"/>
        <item x="289"/>
        <item x="219"/>
        <item x="202"/>
        <item x="261"/>
        <item x="231"/>
        <item x="277"/>
        <item x="300"/>
        <item x="208"/>
        <item x="267"/>
        <item x="129"/>
        <item x="239"/>
        <item x="204"/>
        <item x="264"/>
        <item x="287"/>
        <item x="158"/>
        <item x="295"/>
        <item x="198"/>
        <item x="260"/>
        <item x="285"/>
        <item x="270"/>
        <item x="243"/>
        <item x="222"/>
        <item x="258"/>
        <item x="221"/>
        <item x="269"/>
        <item x="282"/>
        <item x="230"/>
        <item x="123"/>
        <item x="199"/>
        <item x="228"/>
        <item x="238"/>
        <item x="249"/>
        <item x="96"/>
        <item x="268"/>
        <item x="128"/>
        <item x="190"/>
        <item x="135"/>
        <item x="175"/>
        <item x="188"/>
        <item x="278"/>
        <item x="201"/>
        <item x="245"/>
        <item x="254"/>
        <item x="126"/>
        <item x="241"/>
        <item x="211"/>
        <item x="168"/>
        <item x="227"/>
        <item x="217"/>
        <item x="275"/>
        <item x="216"/>
        <item x="251"/>
        <item x="180"/>
        <item x="250"/>
        <item x="236"/>
        <item x="118"/>
        <item x="273"/>
        <item x="127"/>
        <item x="130"/>
        <item x="223"/>
        <item x="182"/>
        <item x="288"/>
        <item x="220"/>
        <item x="79"/>
        <item x="140"/>
        <item x="134"/>
        <item x="244"/>
        <item x="191"/>
        <item x="242"/>
        <item x="155"/>
        <item x="145"/>
        <item x="256"/>
        <item x="153"/>
        <item x="102"/>
        <item x="181"/>
        <item x="195"/>
        <item x="214"/>
        <item x="150"/>
        <item x="225"/>
        <item x="141"/>
        <item x="178"/>
        <item x="213"/>
        <item x="210"/>
        <item x="154"/>
        <item x="149"/>
        <item x="192"/>
        <item x="111"/>
        <item x="207"/>
        <item x="90"/>
        <item x="206"/>
        <item x="146"/>
        <item x="144"/>
        <item x="160"/>
        <item x="113"/>
        <item x="172"/>
        <item x="131"/>
        <item x="189"/>
        <item x="200"/>
        <item x="232"/>
        <item x="187"/>
        <item x="229"/>
        <item x="119"/>
        <item x="246"/>
        <item x="186"/>
        <item x="164"/>
        <item x="194"/>
        <item x="117"/>
        <item x="80"/>
        <item x="110"/>
        <item x="193"/>
        <item x="124"/>
        <item x="174"/>
        <item x="101"/>
        <item x="173"/>
        <item x="58"/>
        <item x="143"/>
        <item x="212"/>
        <item x="133"/>
        <item x="224"/>
        <item x="82"/>
        <item x="142"/>
        <item x="171"/>
        <item x="183"/>
        <item x="77"/>
        <item x="137"/>
        <item x="166"/>
        <item x="122"/>
        <item x="125"/>
        <item x="94"/>
        <item x="93"/>
        <item x="271"/>
        <item x="43"/>
        <item x="92"/>
        <item x="104"/>
        <item x="81"/>
        <item x="44"/>
        <item x="121"/>
        <item x="152"/>
        <item x="235"/>
        <item x="159"/>
        <item x="184"/>
        <item x="85"/>
        <item x="60"/>
        <item x="114"/>
        <item x="252"/>
        <item x="170"/>
        <item x="78"/>
        <item x="89"/>
        <item x="16"/>
        <item x="148"/>
        <item x="50"/>
        <item x="88"/>
        <item x="91"/>
        <item x="116"/>
        <item x="107"/>
        <item x="33"/>
        <item x="87"/>
        <item x="70"/>
        <item x="63"/>
        <item x="248"/>
        <item x="45"/>
        <item x="226"/>
        <item x="37"/>
        <item x="162"/>
        <item x="47"/>
        <item x="151"/>
        <item x="67"/>
        <item x="205"/>
        <item x="247"/>
        <item x="71"/>
        <item x="42"/>
        <item x="99"/>
        <item x="115"/>
        <item x="203"/>
        <item x="86"/>
        <item x="66"/>
        <item x="53"/>
        <item x="185"/>
        <item x="95"/>
        <item x="19"/>
        <item x="136"/>
        <item x="197"/>
        <item x="103"/>
        <item x="120"/>
        <item x="39"/>
        <item x="83"/>
        <item x="218"/>
        <item x="11"/>
        <item x="237"/>
        <item x="18"/>
        <item x="28"/>
        <item x="15"/>
        <item x="23"/>
        <item x="112"/>
        <item x="62"/>
        <item x="139"/>
        <item x="54"/>
        <item x="161"/>
        <item x="74"/>
        <item x="76"/>
        <item x="73"/>
        <item x="147"/>
        <item x="20"/>
        <item x="21"/>
        <item x="100"/>
        <item x="75"/>
        <item x="26"/>
        <item x="59"/>
        <item x="84"/>
        <item x="27"/>
        <item x="36"/>
        <item x="40"/>
        <item x="7"/>
        <item x="69"/>
        <item x="64"/>
        <item x="13"/>
        <item x="14"/>
        <item x="24"/>
        <item x="132"/>
        <item x="41"/>
        <item x="48"/>
        <item x="17"/>
        <item x="169"/>
        <item x="138"/>
        <item x="57"/>
        <item x="51"/>
        <item x="2"/>
        <item x="257"/>
        <item x="163"/>
        <item x="12"/>
        <item x="9"/>
        <item x="108"/>
        <item x="196"/>
        <item x="46"/>
        <item x="10"/>
        <item x="25"/>
        <item x="284"/>
        <item x="98"/>
        <item x="34"/>
        <item x="4"/>
        <item x="1"/>
        <item x="156"/>
        <item x="35"/>
        <item x="49"/>
        <item x="29"/>
        <item x="56"/>
        <item x="281"/>
        <item x="0"/>
        <item x="68"/>
        <item x="280"/>
        <item x="38"/>
        <item x="105"/>
        <item x="167"/>
        <item x="215"/>
        <item x="72"/>
        <item x="6"/>
        <item x="52"/>
        <item x="32"/>
        <item x="22"/>
        <item x="55"/>
        <item x="106"/>
        <item x="65"/>
        <item x="179"/>
        <item x="31"/>
        <item x="61"/>
        <item x="5"/>
        <item x="3"/>
        <item x="30"/>
        <item x="8"/>
        <item x="97"/>
        <item x="157"/>
        <item x="176"/>
        <item x="109"/>
        <item x="233"/>
        <item x="298"/>
        <item t="default"/>
      </items>
    </pivotField>
    <pivotField showAll="0">
      <items count="407">
        <item x="404"/>
        <item x="403"/>
        <item x="401"/>
        <item x="398"/>
        <item x="397"/>
        <item x="399"/>
        <item x="396"/>
        <item x="393"/>
        <item x="402"/>
        <item x="392"/>
        <item x="353"/>
        <item x="378"/>
        <item x="400"/>
        <item x="388"/>
        <item x="316"/>
        <item x="370"/>
        <item x="385"/>
        <item x="334"/>
        <item x="350"/>
        <item x="383"/>
        <item x="382"/>
        <item x="325"/>
        <item x="361"/>
        <item x="352"/>
        <item x="394"/>
        <item x="359"/>
        <item x="374"/>
        <item x="384"/>
        <item x="376"/>
        <item x="365"/>
        <item x="371"/>
        <item x="329"/>
        <item x="391"/>
        <item x="310"/>
        <item x="333"/>
        <item x="326"/>
        <item x="373"/>
        <item x="337"/>
        <item x="380"/>
        <item x="290"/>
        <item x="354"/>
        <item x="369"/>
        <item x="288"/>
        <item x="285"/>
        <item x="377"/>
        <item x="238"/>
        <item x="278"/>
        <item x="381"/>
        <item x="347"/>
        <item x="339"/>
        <item x="331"/>
        <item x="276"/>
        <item x="296"/>
        <item x="308"/>
        <item x="364"/>
        <item x="303"/>
        <item x="270"/>
        <item x="341"/>
        <item x="265"/>
        <item x="253"/>
        <item x="372"/>
        <item x="357"/>
        <item x="283"/>
        <item x="343"/>
        <item x="272"/>
        <item x="395"/>
        <item x="299"/>
        <item x="328"/>
        <item x="335"/>
        <item x="260"/>
        <item x="342"/>
        <item x="286"/>
        <item x="267"/>
        <item x="231"/>
        <item x="216"/>
        <item x="351"/>
        <item x="330"/>
        <item x="366"/>
        <item x="284"/>
        <item x="317"/>
        <item x="346"/>
        <item x="362"/>
        <item x="386"/>
        <item x="264"/>
        <item x="332"/>
        <item x="243"/>
        <item x="145"/>
        <item x="379"/>
        <item x="273"/>
        <item x="289"/>
        <item x="239"/>
        <item x="202"/>
        <item x="304"/>
        <item x="160"/>
        <item x="358"/>
        <item x="187"/>
        <item x="355"/>
        <item x="184"/>
        <item x="309"/>
        <item x="156"/>
        <item x="256"/>
        <item x="236"/>
        <item x="126"/>
        <item x="297"/>
        <item x="340"/>
        <item x="227"/>
        <item x="266"/>
        <item x="321"/>
        <item x="314"/>
        <item x="257"/>
        <item x="168"/>
        <item x="301"/>
        <item x="232"/>
        <item x="223"/>
        <item x="210"/>
        <item x="205"/>
        <item x="197"/>
        <item x="194"/>
        <item x="121"/>
        <item x="140"/>
        <item x="226"/>
        <item x="235"/>
        <item x="250"/>
        <item x="263"/>
        <item x="141"/>
        <item x="281"/>
        <item x="182"/>
        <item x="211"/>
        <item x="157"/>
        <item x="319"/>
        <item x="271"/>
        <item x="275"/>
        <item x="277"/>
        <item x="279"/>
        <item x="151"/>
        <item x="282"/>
        <item x="230"/>
        <item x="179"/>
        <item x="220"/>
        <item x="208"/>
        <item x="338"/>
        <item x="269"/>
        <item x="214"/>
        <item x="181"/>
        <item x="144"/>
        <item x="242"/>
        <item x="262"/>
        <item x="169"/>
        <item x="53"/>
        <item x="198"/>
        <item x="360"/>
        <item x="165"/>
        <item x="129"/>
        <item x="323"/>
        <item x="132"/>
        <item x="368"/>
        <item x="199"/>
        <item x="23"/>
        <item x="104"/>
        <item x="221"/>
        <item x="315"/>
        <item x="76"/>
        <item x="206"/>
        <item x="280"/>
        <item x="143"/>
        <item x="248"/>
        <item x="86"/>
        <item x="212"/>
        <item x="336"/>
        <item x="229"/>
        <item x="320"/>
        <item x="344"/>
        <item x="123"/>
        <item x="147"/>
        <item x="237"/>
        <item x="348"/>
        <item x="96"/>
        <item x="119"/>
        <item x="186"/>
        <item x="188"/>
        <item x="246"/>
        <item x="154"/>
        <item x="178"/>
        <item x="117"/>
        <item x="293"/>
        <item x="135"/>
        <item x="244"/>
        <item x="81"/>
        <item x="59"/>
        <item x="155"/>
        <item x="356"/>
        <item x="27"/>
        <item x="162"/>
        <item x="322"/>
        <item x="150"/>
        <item x="136"/>
        <item x="268"/>
        <item x="118"/>
        <item x="90"/>
        <item x="217"/>
        <item x="40"/>
        <item x="274"/>
        <item x="134"/>
        <item x="100"/>
        <item x="261"/>
        <item x="173"/>
        <item x="89"/>
        <item x="70"/>
        <item x="124"/>
        <item x="161"/>
        <item x="43"/>
        <item x="48"/>
        <item x="247"/>
        <item x="318"/>
        <item x="167"/>
        <item x="164"/>
        <item x="57"/>
        <item x="305"/>
        <item x="110"/>
        <item x="25"/>
        <item x="128"/>
        <item x="292"/>
        <item x="60"/>
        <item x="17"/>
        <item x="42"/>
        <item x="78"/>
        <item x="107"/>
        <item x="16"/>
        <item x="91"/>
        <item x="375"/>
        <item x="10"/>
        <item x="142"/>
        <item x="298"/>
        <item x="32"/>
        <item x="21"/>
        <item x="33"/>
        <item x="240"/>
        <item x="196"/>
        <item x="54"/>
        <item x="139"/>
        <item x="324"/>
        <item x="36"/>
        <item x="9"/>
        <item x="302"/>
        <item x="130"/>
        <item x="209"/>
        <item x="66"/>
        <item x="30"/>
        <item x="114"/>
        <item x="327"/>
        <item x="44"/>
        <item x="51"/>
        <item x="4"/>
        <item x="241"/>
        <item x="176"/>
        <item x="174"/>
        <item x="87"/>
        <item x="180"/>
        <item x="13"/>
        <item x="127"/>
        <item x="65"/>
        <item x="125"/>
        <item x="203"/>
        <item x="189"/>
        <item x="99"/>
        <item x="102"/>
        <item x="80"/>
        <item x="172"/>
        <item x="85"/>
        <item x="34"/>
        <item x="63"/>
        <item x="73"/>
        <item x="183"/>
        <item x="120"/>
        <item x="74"/>
        <item x="41"/>
        <item x="58"/>
        <item x="122"/>
        <item x="77"/>
        <item x="47"/>
        <item x="207"/>
        <item x="219"/>
        <item x="254"/>
        <item x="45"/>
        <item x="111"/>
        <item x="29"/>
        <item x="19"/>
        <item x="159"/>
        <item x="72"/>
        <item x="11"/>
        <item x="39"/>
        <item x="7"/>
        <item x="93"/>
        <item x="26"/>
        <item x="152"/>
        <item x="2"/>
        <item x="106"/>
        <item x="234"/>
        <item x="108"/>
        <item x="37"/>
        <item x="0"/>
        <item x="88"/>
        <item x="67"/>
        <item x="15"/>
        <item x="190"/>
        <item x="94"/>
        <item x="92"/>
        <item x="46"/>
        <item x="367"/>
        <item x="69"/>
        <item x="22"/>
        <item x="112"/>
        <item x="191"/>
        <item x="131"/>
        <item x="213"/>
        <item x="68"/>
        <item x="62"/>
        <item x="105"/>
        <item x="98"/>
        <item x="170"/>
        <item x="195"/>
        <item x="24"/>
        <item x="55"/>
        <item x="311"/>
        <item x="101"/>
        <item x="137"/>
        <item x="115"/>
        <item x="163"/>
        <item x="300"/>
        <item x="313"/>
        <item x="1"/>
        <item x="84"/>
        <item x="245"/>
        <item x="61"/>
        <item x="252"/>
        <item x="149"/>
        <item x="306"/>
        <item x="158"/>
        <item x="28"/>
        <item x="287"/>
        <item x="6"/>
        <item x="113"/>
        <item x="79"/>
        <item x="31"/>
        <item x="133"/>
        <item x="12"/>
        <item x="204"/>
        <item x="35"/>
        <item x="201"/>
        <item x="228"/>
        <item x="56"/>
        <item x="97"/>
        <item x="95"/>
        <item x="71"/>
        <item x="3"/>
        <item x="312"/>
        <item x="14"/>
        <item x="148"/>
        <item x="215"/>
        <item x="116"/>
        <item x="83"/>
        <item x="175"/>
        <item x="251"/>
        <item x="345"/>
        <item x="146"/>
        <item x="75"/>
        <item x="18"/>
        <item x="185"/>
        <item x="255"/>
        <item x="258"/>
        <item x="52"/>
        <item x="8"/>
        <item x="5"/>
        <item x="166"/>
        <item x="193"/>
        <item x="20"/>
        <item x="64"/>
        <item x="222"/>
        <item x="103"/>
        <item x="291"/>
        <item x="177"/>
        <item x="259"/>
        <item x="109"/>
        <item x="50"/>
        <item x="363"/>
        <item x="349"/>
        <item x="200"/>
        <item x="38"/>
        <item x="171"/>
        <item x="225"/>
        <item x="153"/>
        <item x="295"/>
        <item x="218"/>
        <item x="138"/>
        <item x="82"/>
        <item x="307"/>
        <item x="233"/>
        <item x="192"/>
        <item x="387"/>
        <item x="249"/>
        <item x="224"/>
        <item x="49"/>
        <item x="389"/>
        <item x="294"/>
        <item x="390"/>
        <item x="405"/>
        <item t="default"/>
      </items>
    </pivotField>
  </pivotFields>
  <rowFields count="1">
    <field x="0"/>
  </rowFields>
  <rowItems count="11">
    <i>
      <x v="486"/>
    </i>
    <i>
      <x v="437"/>
    </i>
    <i>
      <x v="368"/>
    </i>
    <i>
      <x v="392"/>
    </i>
    <i>
      <x v="147"/>
    </i>
    <i>
      <x v="385"/>
    </i>
    <i>
      <x v="112"/>
    </i>
    <i>
      <x v="299"/>
    </i>
    <i>
      <x v="43"/>
    </i>
    <i>
      <x v="92"/>
    </i>
    <i t="grand">
      <x/>
    </i>
  </rowItems>
  <colFields count="1">
    <field x="-2"/>
  </colFields>
  <colItems count="2">
    <i>
      <x/>
    </i>
    <i i="1">
      <x v="1"/>
    </i>
  </colItems>
  <dataFields count="2">
    <dataField name=" Number of balls" fld="3" baseField="0" baseItem="0"/>
    <dataField name="Sum of Total_runs" fld="1" baseField="0" baseItem="0"/>
  </dataFields>
  <formats count="4">
    <format dxfId="8">
      <pivotArea collapsedLevelsAreSubtotals="1" fieldPosition="0">
        <references count="1">
          <reference field="0" count="1">
            <x v="67"/>
          </reference>
        </references>
      </pivotArea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</formats>
  <chartFormats count="2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9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 rowHeaderCaption="Batsman">
  <location ref="D3:E14" firstHeaderRow="1" firstDataRow="1" firstDataCol="1"/>
  <pivotFields count="6">
    <pivotField axis="axisRow" showAll="0" measureFilter="1" sortType="descending">
      <items count="518">
        <item x="146"/>
        <item x="454"/>
        <item x="280"/>
        <item x="339"/>
        <item x="455"/>
        <item x="272"/>
        <item x="189"/>
        <item x="386"/>
        <item x="316"/>
        <item x="126"/>
        <item x="320"/>
        <item x="367"/>
        <item x="297"/>
        <item x="482"/>
        <item x="72"/>
        <item x="465"/>
        <item x="452"/>
        <item x="444"/>
        <item x="263"/>
        <item x="401"/>
        <item x="157"/>
        <item x="417"/>
        <item x="173"/>
        <item x="294"/>
        <item x="8"/>
        <item x="337"/>
        <item x="209"/>
        <item x="509"/>
        <item x="213"/>
        <item x="28"/>
        <item x="358"/>
        <item x="172"/>
        <item x="251"/>
        <item x="87"/>
        <item x="240"/>
        <item x="49"/>
        <item x="429"/>
        <item x="412"/>
        <item x="290"/>
        <item x="39"/>
        <item x="235"/>
        <item x="119"/>
        <item x="90"/>
        <item x="10"/>
        <item x="314"/>
        <item x="431"/>
        <item x="271"/>
        <item x="185"/>
        <item x="432"/>
        <item x="307"/>
        <item x="319"/>
        <item x="245"/>
        <item x="130"/>
        <item x="400"/>
        <item x="80"/>
        <item x="377"/>
        <item x="162"/>
        <item x="69"/>
        <item x="13"/>
        <item x="302"/>
        <item x="460"/>
        <item x="122"/>
        <item x="254"/>
        <item x="147"/>
        <item x="168"/>
        <item x="450"/>
        <item x="207"/>
        <item x="443"/>
        <item x="317"/>
        <item x="440"/>
        <item x="92"/>
        <item x="324"/>
        <item x="470"/>
        <item x="15"/>
        <item x="206"/>
        <item x="406"/>
        <item x="153"/>
        <item x="492"/>
        <item x="166"/>
        <item x="373"/>
        <item x="51"/>
        <item x="163"/>
        <item x="345"/>
        <item x="300"/>
        <item x="137"/>
        <item x="167"/>
        <item x="382"/>
        <item x="174"/>
        <item x="501"/>
        <item x="353"/>
        <item x="56"/>
        <item x="121"/>
        <item x="5"/>
        <item x="103"/>
        <item x="99"/>
        <item x="232"/>
        <item x="463"/>
        <item x="420"/>
        <item x="379"/>
        <item x="425"/>
        <item x="73"/>
        <item x="178"/>
        <item x="171"/>
        <item x="269"/>
        <item x="456"/>
        <item x="416"/>
        <item x="467"/>
        <item x="323"/>
        <item x="394"/>
        <item x="217"/>
        <item x="201"/>
        <item x="35"/>
        <item x="3"/>
        <item x="398"/>
        <item x="136"/>
        <item x="124"/>
        <item x="354"/>
        <item x="176"/>
        <item x="45"/>
        <item x="222"/>
        <item x="102"/>
        <item x="54"/>
        <item x="237"/>
        <item x="495"/>
        <item x="303"/>
        <item x="142"/>
        <item x="261"/>
        <item x="212"/>
        <item x="436"/>
        <item x="409"/>
        <item x="451"/>
        <item x="494"/>
        <item x="36"/>
        <item x="364"/>
        <item x="24"/>
        <item x="228"/>
        <item x="375"/>
        <item x="110"/>
        <item x="392"/>
        <item x="181"/>
        <item x="112"/>
        <item x="78"/>
        <item x="343"/>
        <item x="388"/>
        <item x="34"/>
        <item x="453"/>
        <item x="169"/>
        <item x="9"/>
        <item x="351"/>
        <item x="86"/>
        <item x="457"/>
        <item x="145"/>
        <item x="91"/>
        <item x="50"/>
        <item x="383"/>
        <item x="111"/>
        <item x="359"/>
        <item x="484"/>
        <item x="490"/>
        <item x="264"/>
        <item x="459"/>
        <item x="469"/>
        <item x="79"/>
        <item x="372"/>
        <item x="362"/>
        <item x="76"/>
        <item x="64"/>
        <item x="97"/>
        <item x="223"/>
        <item x="433"/>
        <item x="277"/>
        <item x="435"/>
        <item x="507"/>
        <item x="60"/>
        <item x="360"/>
        <item x="243"/>
        <item x="255"/>
        <item x="88"/>
        <item x="246"/>
        <item x="347"/>
        <item x="109"/>
        <item x="117"/>
        <item x="512"/>
        <item x="421"/>
        <item x="278"/>
        <item x="331"/>
        <item x="411"/>
        <item x="439"/>
        <item x="71"/>
        <item x="419"/>
        <item x="52"/>
        <item x="94"/>
        <item x="275"/>
        <item x="224"/>
        <item x="296"/>
        <item x="468"/>
        <item x="132"/>
        <item x="23"/>
        <item x="309"/>
        <item x="170"/>
        <item x="371"/>
        <item x="335"/>
        <item x="306"/>
        <item x="313"/>
        <item x="30"/>
        <item x="101"/>
        <item x="115"/>
        <item x="500"/>
        <item x="156"/>
        <item x="192"/>
        <item x="357"/>
        <item x="262"/>
        <item x="403"/>
        <item x="18"/>
        <item x="414"/>
        <item x="200"/>
        <item x="472"/>
        <item x="402"/>
        <item x="285"/>
        <item x="341"/>
        <item x="42"/>
        <item x="11"/>
        <item x="75"/>
        <item x="393"/>
        <item x="218"/>
        <item x="47"/>
        <item x="31"/>
        <item x="63"/>
        <item x="449"/>
        <item x="474"/>
        <item x="68"/>
        <item x="55"/>
        <item x="292"/>
        <item x="134"/>
        <item x="312"/>
        <item x="508"/>
        <item x="311"/>
        <item x="260"/>
        <item x="491"/>
        <item x="321"/>
        <item x="248"/>
        <item x="139"/>
        <item x="489"/>
        <item x="225"/>
        <item x="65"/>
        <item x="298"/>
        <item x="118"/>
        <item x="66"/>
        <item x="138"/>
        <item x="458"/>
        <item x="499"/>
        <item x="151"/>
        <item x="221"/>
        <item x="258"/>
        <item x="334"/>
        <item x="104"/>
        <item x="330"/>
        <item x="204"/>
        <item x="356"/>
        <item x="405"/>
        <item x="276"/>
        <item x="322"/>
        <item x="399"/>
        <item x="21"/>
        <item x="67"/>
        <item x="496"/>
        <item x="58"/>
        <item x="342"/>
        <item x="233"/>
        <item x="44"/>
        <item x="478"/>
        <item x="74"/>
        <item x="205"/>
        <item x="154"/>
        <item x="389"/>
        <item x="32"/>
        <item x="175"/>
        <item x="179"/>
        <item x="215"/>
        <item x="231"/>
        <item x="149"/>
        <item x="148"/>
        <item x="242"/>
        <item x="17"/>
        <item x="40"/>
        <item x="61"/>
        <item x="304"/>
        <item x="208"/>
        <item x="184"/>
        <item x="180"/>
        <item x="477"/>
        <item x="471"/>
        <item x="268"/>
        <item x="193"/>
        <item x="279"/>
        <item x="326"/>
        <item x="108"/>
        <item x="155"/>
        <item x="81"/>
        <item x="6"/>
        <item x="229"/>
        <item x="350"/>
        <item x="488"/>
        <item x="120"/>
        <item x="430"/>
        <item x="177"/>
        <item x="62"/>
        <item x="194"/>
        <item x="511"/>
        <item x="211"/>
        <item x="361"/>
        <item x="497"/>
        <item x="336"/>
        <item x="113"/>
        <item x="283"/>
        <item x="348"/>
        <item x="43"/>
        <item x="106"/>
        <item x="448"/>
        <item x="423"/>
        <item x="202"/>
        <item x="498"/>
        <item x="129"/>
        <item x="127"/>
        <item x="493"/>
        <item x="369"/>
        <item x="504"/>
        <item x="366"/>
        <item x="95"/>
        <item x="16"/>
        <item x="182"/>
        <item x="428"/>
        <item x="376"/>
        <item x="107"/>
        <item x="159"/>
        <item x="252"/>
        <item x="344"/>
        <item x="486"/>
        <item x="96"/>
        <item x="378"/>
        <item x="236"/>
        <item x="442"/>
        <item x="374"/>
        <item x="46"/>
        <item x="123"/>
        <item x="128"/>
        <item x="434"/>
        <item x="365"/>
        <item x="188"/>
        <item x="27"/>
        <item x="187"/>
        <item x="466"/>
        <item x="183"/>
        <item x="286"/>
        <item x="445"/>
        <item x="150"/>
        <item x="267"/>
        <item x="363"/>
        <item x="266"/>
        <item x="220"/>
        <item x="135"/>
        <item x="33"/>
        <item x="84"/>
        <item x="226"/>
        <item x="385"/>
        <item x="247"/>
        <item x="186"/>
        <item x="481"/>
        <item x="2"/>
        <item x="214"/>
        <item x="325"/>
        <item x="227"/>
        <item x="133"/>
        <item x="282"/>
        <item x="506"/>
        <item x="38"/>
        <item x="265"/>
        <item x="355"/>
        <item x="281"/>
        <item x="259"/>
        <item x="100"/>
        <item x="475"/>
        <item x="461"/>
        <item x="239"/>
        <item x="287"/>
        <item x="7"/>
        <item x="196"/>
        <item x="273"/>
        <item x="390"/>
        <item x="48"/>
        <item x="340"/>
        <item x="234"/>
        <item x="4"/>
        <item x="299"/>
        <item x="105"/>
        <item x="199"/>
        <item x="241"/>
        <item x="404"/>
        <item x="515"/>
        <item x="513"/>
        <item x="505"/>
        <item x="391"/>
        <item x="327"/>
        <item x="308"/>
        <item x="238"/>
        <item x="479"/>
        <item x="253"/>
        <item x="441"/>
        <item x="380"/>
        <item x="125"/>
        <item x="318"/>
        <item x="328"/>
        <item x="464"/>
        <item x="191"/>
        <item x="381"/>
        <item x="114"/>
        <item x="93"/>
        <item x="195"/>
        <item x="164"/>
        <item x="338"/>
        <item x="288"/>
        <item x="333"/>
        <item x="438"/>
        <item x="197"/>
        <item x="476"/>
        <item x="53"/>
        <item x="230"/>
        <item x="387"/>
        <item x="485"/>
        <item x="22"/>
        <item x="250"/>
        <item x="85"/>
        <item x="446"/>
        <item x="487"/>
        <item x="480"/>
        <item x="284"/>
        <item x="447"/>
        <item x="1"/>
        <item x="295"/>
        <item x="160"/>
        <item x="244"/>
        <item x="418"/>
        <item x="152"/>
        <item x="190"/>
        <item x="415"/>
        <item x="116"/>
        <item x="315"/>
        <item x="310"/>
        <item x="161"/>
        <item x="141"/>
        <item x="305"/>
        <item x="82"/>
        <item x="29"/>
        <item x="25"/>
        <item x="12"/>
        <item x="41"/>
        <item x="437"/>
        <item x="57"/>
        <item x="83"/>
        <item x="77"/>
        <item x="510"/>
        <item x="293"/>
        <item x="26"/>
        <item x="131"/>
        <item x="349"/>
        <item x="395"/>
        <item x="346"/>
        <item x="407"/>
        <item x="408"/>
        <item x="329"/>
        <item x="396"/>
        <item x="397"/>
        <item x="413"/>
        <item x="219"/>
        <item x="89"/>
        <item x="59"/>
        <item x="158"/>
        <item x="424"/>
        <item x="256"/>
        <item x="422"/>
        <item x="503"/>
        <item x="426"/>
        <item x="140"/>
        <item x="301"/>
        <item x="203"/>
        <item x="210"/>
        <item x="0"/>
        <item x="514"/>
        <item x="20"/>
        <item x="98"/>
        <item x="332"/>
        <item x="370"/>
        <item x="289"/>
        <item x="462"/>
        <item x="427"/>
        <item x="483"/>
        <item x="144"/>
        <item x="384"/>
        <item x="198"/>
        <item x="274"/>
        <item x="257"/>
        <item x="270"/>
        <item x="37"/>
        <item x="249"/>
        <item x="410"/>
        <item x="368"/>
        <item x="143"/>
        <item x="70"/>
        <item x="502"/>
        <item x="291"/>
        <item x="14"/>
        <item x="473"/>
        <item x="352"/>
        <item x="19"/>
        <item x="165"/>
        <item x="216"/>
        <item x="5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25">
        <item x="323"/>
        <item x="322"/>
        <item x="320"/>
        <item x="318"/>
        <item x="321"/>
        <item x="304"/>
        <item x="317"/>
        <item x="319"/>
        <item x="286"/>
        <item x="314"/>
        <item x="316"/>
        <item x="307"/>
        <item x="312"/>
        <item x="290"/>
        <item x="315"/>
        <item x="296"/>
        <item x="292"/>
        <item x="262"/>
        <item x="313"/>
        <item x="311"/>
        <item x="310"/>
        <item x="308"/>
        <item x="297"/>
        <item x="274"/>
        <item x="279"/>
        <item x="272"/>
        <item x="305"/>
        <item x="294"/>
        <item x="303"/>
        <item x="253"/>
        <item x="301"/>
        <item x="309"/>
        <item x="299"/>
        <item x="283"/>
        <item x="255"/>
        <item x="265"/>
        <item x="234"/>
        <item x="263"/>
        <item x="306"/>
        <item x="177"/>
        <item x="276"/>
        <item x="293"/>
        <item x="209"/>
        <item x="259"/>
        <item x="240"/>
        <item x="165"/>
        <item x="266"/>
        <item x="291"/>
        <item x="302"/>
        <item x="289"/>
        <item x="219"/>
        <item x="202"/>
        <item x="261"/>
        <item x="231"/>
        <item x="277"/>
        <item x="300"/>
        <item x="208"/>
        <item x="267"/>
        <item x="129"/>
        <item x="239"/>
        <item x="204"/>
        <item x="264"/>
        <item x="287"/>
        <item x="158"/>
        <item x="295"/>
        <item x="198"/>
        <item x="260"/>
        <item x="285"/>
        <item x="270"/>
        <item x="243"/>
        <item x="222"/>
        <item x="258"/>
        <item x="221"/>
        <item x="269"/>
        <item x="282"/>
        <item x="230"/>
        <item x="123"/>
        <item x="199"/>
        <item x="228"/>
        <item x="238"/>
        <item x="249"/>
        <item x="96"/>
        <item x="268"/>
        <item x="128"/>
        <item x="190"/>
        <item x="135"/>
        <item x="175"/>
        <item x="188"/>
        <item x="278"/>
        <item x="201"/>
        <item x="245"/>
        <item x="254"/>
        <item x="126"/>
        <item x="241"/>
        <item x="211"/>
        <item x="168"/>
        <item x="227"/>
        <item x="217"/>
        <item x="275"/>
        <item x="216"/>
        <item x="251"/>
        <item x="180"/>
        <item x="250"/>
        <item x="236"/>
        <item x="118"/>
        <item x="273"/>
        <item x="127"/>
        <item x="130"/>
        <item x="223"/>
        <item x="182"/>
        <item x="288"/>
        <item x="220"/>
        <item x="79"/>
        <item x="140"/>
        <item x="134"/>
        <item x="244"/>
        <item x="191"/>
        <item x="242"/>
        <item x="155"/>
        <item x="145"/>
        <item x="256"/>
        <item x="153"/>
        <item x="102"/>
        <item x="181"/>
        <item x="195"/>
        <item x="214"/>
        <item x="150"/>
        <item x="225"/>
        <item x="141"/>
        <item x="178"/>
        <item x="213"/>
        <item x="210"/>
        <item x="154"/>
        <item x="149"/>
        <item x="192"/>
        <item x="111"/>
        <item x="207"/>
        <item x="90"/>
        <item x="206"/>
        <item x="146"/>
        <item x="144"/>
        <item x="160"/>
        <item x="113"/>
        <item x="172"/>
        <item x="131"/>
        <item x="189"/>
        <item x="200"/>
        <item x="232"/>
        <item x="187"/>
        <item x="229"/>
        <item x="119"/>
        <item x="246"/>
        <item x="186"/>
        <item x="164"/>
        <item x="194"/>
        <item x="117"/>
        <item x="80"/>
        <item x="110"/>
        <item x="193"/>
        <item x="124"/>
        <item x="174"/>
        <item x="101"/>
        <item x="173"/>
        <item x="58"/>
        <item x="143"/>
        <item x="212"/>
        <item x="133"/>
        <item x="224"/>
        <item x="82"/>
        <item x="142"/>
        <item x="171"/>
        <item x="183"/>
        <item x="77"/>
        <item x="137"/>
        <item x="166"/>
        <item x="122"/>
        <item x="125"/>
        <item x="94"/>
        <item x="93"/>
        <item x="271"/>
        <item x="43"/>
        <item x="92"/>
        <item x="104"/>
        <item x="81"/>
        <item x="44"/>
        <item x="121"/>
        <item x="152"/>
        <item x="235"/>
        <item x="159"/>
        <item x="184"/>
        <item x="85"/>
        <item x="60"/>
        <item x="114"/>
        <item x="252"/>
        <item x="170"/>
        <item x="78"/>
        <item x="89"/>
        <item x="16"/>
        <item x="148"/>
        <item x="50"/>
        <item x="88"/>
        <item x="91"/>
        <item x="116"/>
        <item x="107"/>
        <item x="33"/>
        <item x="87"/>
        <item x="70"/>
        <item x="63"/>
        <item x="248"/>
        <item x="45"/>
        <item x="226"/>
        <item x="37"/>
        <item x="162"/>
        <item x="47"/>
        <item x="151"/>
        <item x="67"/>
        <item x="205"/>
        <item x="247"/>
        <item x="71"/>
        <item x="42"/>
        <item x="99"/>
        <item x="115"/>
        <item x="203"/>
        <item x="86"/>
        <item x="66"/>
        <item x="53"/>
        <item x="185"/>
        <item x="95"/>
        <item x="19"/>
        <item x="136"/>
        <item x="197"/>
        <item x="103"/>
        <item x="120"/>
        <item x="39"/>
        <item x="83"/>
        <item x="218"/>
        <item x="11"/>
        <item x="237"/>
        <item x="18"/>
        <item x="28"/>
        <item x="15"/>
        <item x="23"/>
        <item x="112"/>
        <item x="62"/>
        <item x="139"/>
        <item x="54"/>
        <item x="161"/>
        <item x="74"/>
        <item x="76"/>
        <item x="73"/>
        <item x="147"/>
        <item x="20"/>
        <item x="21"/>
        <item x="100"/>
        <item x="75"/>
        <item x="26"/>
        <item x="59"/>
        <item x="84"/>
        <item x="27"/>
        <item x="36"/>
        <item x="40"/>
        <item x="7"/>
        <item x="69"/>
        <item x="64"/>
        <item x="13"/>
        <item x="14"/>
        <item x="24"/>
        <item x="132"/>
        <item x="41"/>
        <item x="48"/>
        <item x="17"/>
        <item x="169"/>
        <item x="138"/>
        <item x="57"/>
        <item x="51"/>
        <item x="2"/>
        <item x="257"/>
        <item x="163"/>
        <item x="12"/>
        <item x="9"/>
        <item x="108"/>
        <item x="196"/>
        <item x="46"/>
        <item x="10"/>
        <item x="25"/>
        <item x="284"/>
        <item x="98"/>
        <item x="34"/>
        <item x="4"/>
        <item x="1"/>
        <item x="156"/>
        <item x="35"/>
        <item x="49"/>
        <item x="29"/>
        <item x="56"/>
        <item x="281"/>
        <item x="0"/>
        <item x="68"/>
        <item x="280"/>
        <item x="38"/>
        <item x="105"/>
        <item x="167"/>
        <item x="215"/>
        <item x="72"/>
        <item x="6"/>
        <item x="52"/>
        <item x="32"/>
        <item x="22"/>
        <item x="55"/>
        <item x="106"/>
        <item x="65"/>
        <item x="179"/>
        <item x="31"/>
        <item x="61"/>
        <item x="5"/>
        <item x="3"/>
        <item x="30"/>
        <item x="8"/>
        <item x="97"/>
        <item x="157"/>
        <item x="176"/>
        <item x="109"/>
        <item x="233"/>
        <item x="298"/>
        <item t="default"/>
      </items>
    </pivotField>
    <pivotField dataField="1" showAll="0">
      <items count="407">
        <item x="404"/>
        <item x="403"/>
        <item x="401"/>
        <item x="398"/>
        <item x="397"/>
        <item x="399"/>
        <item x="396"/>
        <item x="393"/>
        <item x="402"/>
        <item x="392"/>
        <item x="353"/>
        <item x="378"/>
        <item x="400"/>
        <item x="388"/>
        <item x="316"/>
        <item x="370"/>
        <item x="385"/>
        <item x="334"/>
        <item x="350"/>
        <item x="383"/>
        <item x="382"/>
        <item x="325"/>
        <item x="361"/>
        <item x="352"/>
        <item x="394"/>
        <item x="359"/>
        <item x="374"/>
        <item x="384"/>
        <item x="376"/>
        <item x="365"/>
        <item x="371"/>
        <item x="329"/>
        <item x="391"/>
        <item x="310"/>
        <item x="333"/>
        <item x="326"/>
        <item x="373"/>
        <item x="337"/>
        <item x="380"/>
        <item x="290"/>
        <item x="354"/>
        <item x="369"/>
        <item x="288"/>
        <item x="285"/>
        <item x="377"/>
        <item x="238"/>
        <item x="278"/>
        <item x="381"/>
        <item x="347"/>
        <item x="339"/>
        <item x="331"/>
        <item x="276"/>
        <item x="296"/>
        <item x="308"/>
        <item x="364"/>
        <item x="303"/>
        <item x="270"/>
        <item x="341"/>
        <item x="265"/>
        <item x="253"/>
        <item x="372"/>
        <item x="357"/>
        <item x="283"/>
        <item x="343"/>
        <item x="272"/>
        <item x="395"/>
        <item x="299"/>
        <item x="328"/>
        <item x="335"/>
        <item x="260"/>
        <item x="342"/>
        <item x="286"/>
        <item x="267"/>
        <item x="231"/>
        <item x="216"/>
        <item x="351"/>
        <item x="330"/>
        <item x="366"/>
        <item x="284"/>
        <item x="317"/>
        <item x="346"/>
        <item x="362"/>
        <item x="386"/>
        <item x="264"/>
        <item x="332"/>
        <item x="243"/>
        <item x="145"/>
        <item x="379"/>
        <item x="273"/>
        <item x="289"/>
        <item x="239"/>
        <item x="202"/>
        <item x="304"/>
        <item x="160"/>
        <item x="358"/>
        <item x="187"/>
        <item x="355"/>
        <item x="184"/>
        <item x="309"/>
        <item x="156"/>
        <item x="256"/>
        <item x="236"/>
        <item x="126"/>
        <item x="297"/>
        <item x="340"/>
        <item x="227"/>
        <item x="266"/>
        <item x="321"/>
        <item x="314"/>
        <item x="257"/>
        <item x="168"/>
        <item x="301"/>
        <item x="232"/>
        <item x="223"/>
        <item x="210"/>
        <item x="205"/>
        <item x="197"/>
        <item x="194"/>
        <item x="121"/>
        <item x="140"/>
        <item x="226"/>
        <item x="235"/>
        <item x="250"/>
        <item x="263"/>
        <item x="141"/>
        <item x="281"/>
        <item x="182"/>
        <item x="211"/>
        <item x="157"/>
        <item x="319"/>
        <item x="271"/>
        <item x="275"/>
        <item x="277"/>
        <item x="279"/>
        <item x="151"/>
        <item x="282"/>
        <item x="230"/>
        <item x="179"/>
        <item x="220"/>
        <item x="208"/>
        <item x="338"/>
        <item x="269"/>
        <item x="214"/>
        <item x="181"/>
        <item x="144"/>
        <item x="242"/>
        <item x="262"/>
        <item x="169"/>
        <item x="53"/>
        <item x="198"/>
        <item x="360"/>
        <item x="165"/>
        <item x="129"/>
        <item x="323"/>
        <item x="132"/>
        <item x="368"/>
        <item x="199"/>
        <item x="23"/>
        <item x="104"/>
        <item x="221"/>
        <item x="315"/>
        <item x="76"/>
        <item x="206"/>
        <item x="280"/>
        <item x="143"/>
        <item x="248"/>
        <item x="86"/>
        <item x="212"/>
        <item x="336"/>
        <item x="229"/>
        <item x="320"/>
        <item x="344"/>
        <item x="123"/>
        <item x="147"/>
        <item x="237"/>
        <item x="348"/>
        <item x="96"/>
        <item x="119"/>
        <item x="186"/>
        <item x="188"/>
        <item x="246"/>
        <item x="154"/>
        <item x="178"/>
        <item x="117"/>
        <item x="293"/>
        <item x="135"/>
        <item x="244"/>
        <item x="81"/>
        <item x="59"/>
        <item x="155"/>
        <item x="356"/>
        <item x="27"/>
        <item x="162"/>
        <item x="322"/>
        <item x="150"/>
        <item x="136"/>
        <item x="268"/>
        <item x="118"/>
        <item x="90"/>
        <item x="217"/>
        <item x="40"/>
        <item x="274"/>
        <item x="134"/>
        <item x="100"/>
        <item x="261"/>
        <item x="173"/>
        <item x="89"/>
        <item x="70"/>
        <item x="124"/>
        <item x="161"/>
        <item x="43"/>
        <item x="48"/>
        <item x="247"/>
        <item x="318"/>
        <item x="167"/>
        <item x="164"/>
        <item x="57"/>
        <item x="305"/>
        <item x="110"/>
        <item x="25"/>
        <item x="128"/>
        <item x="292"/>
        <item x="60"/>
        <item x="17"/>
        <item x="42"/>
        <item x="78"/>
        <item x="107"/>
        <item x="16"/>
        <item x="91"/>
        <item x="375"/>
        <item x="10"/>
        <item x="142"/>
        <item x="298"/>
        <item x="32"/>
        <item x="21"/>
        <item x="33"/>
        <item x="240"/>
        <item x="196"/>
        <item x="54"/>
        <item x="139"/>
        <item x="324"/>
        <item x="36"/>
        <item x="9"/>
        <item x="302"/>
        <item x="130"/>
        <item x="209"/>
        <item x="66"/>
        <item x="30"/>
        <item x="114"/>
        <item x="327"/>
        <item x="44"/>
        <item x="51"/>
        <item x="4"/>
        <item x="241"/>
        <item x="176"/>
        <item x="174"/>
        <item x="87"/>
        <item x="180"/>
        <item x="13"/>
        <item x="127"/>
        <item x="65"/>
        <item x="125"/>
        <item x="203"/>
        <item x="189"/>
        <item x="99"/>
        <item x="102"/>
        <item x="80"/>
        <item x="172"/>
        <item x="85"/>
        <item x="34"/>
        <item x="63"/>
        <item x="73"/>
        <item x="183"/>
        <item x="120"/>
        <item x="74"/>
        <item x="41"/>
        <item x="58"/>
        <item x="122"/>
        <item x="77"/>
        <item x="47"/>
        <item x="207"/>
        <item x="219"/>
        <item x="254"/>
        <item x="45"/>
        <item x="111"/>
        <item x="29"/>
        <item x="19"/>
        <item x="159"/>
        <item x="72"/>
        <item x="11"/>
        <item x="39"/>
        <item x="7"/>
        <item x="93"/>
        <item x="26"/>
        <item x="152"/>
        <item x="2"/>
        <item x="106"/>
        <item x="234"/>
        <item x="108"/>
        <item x="37"/>
        <item x="0"/>
        <item x="88"/>
        <item x="67"/>
        <item x="15"/>
        <item x="190"/>
        <item x="94"/>
        <item x="92"/>
        <item x="46"/>
        <item x="367"/>
        <item x="69"/>
        <item x="22"/>
        <item x="112"/>
        <item x="191"/>
        <item x="131"/>
        <item x="213"/>
        <item x="68"/>
        <item x="62"/>
        <item x="105"/>
        <item x="98"/>
        <item x="170"/>
        <item x="195"/>
        <item x="24"/>
        <item x="55"/>
        <item x="311"/>
        <item x="101"/>
        <item x="137"/>
        <item x="115"/>
        <item x="163"/>
        <item x="300"/>
        <item x="313"/>
        <item x="1"/>
        <item x="84"/>
        <item x="245"/>
        <item x="61"/>
        <item x="252"/>
        <item x="149"/>
        <item x="306"/>
        <item x="158"/>
        <item x="28"/>
        <item x="287"/>
        <item x="6"/>
        <item x="113"/>
        <item x="79"/>
        <item x="31"/>
        <item x="133"/>
        <item x="12"/>
        <item x="204"/>
        <item x="35"/>
        <item x="201"/>
        <item x="228"/>
        <item x="56"/>
        <item x="97"/>
        <item x="95"/>
        <item x="71"/>
        <item x="3"/>
        <item x="312"/>
        <item x="14"/>
        <item x="148"/>
        <item x="215"/>
        <item x="116"/>
        <item x="83"/>
        <item x="175"/>
        <item x="251"/>
        <item x="345"/>
        <item x="146"/>
        <item x="75"/>
        <item x="18"/>
        <item x="185"/>
        <item x="255"/>
        <item x="258"/>
        <item x="52"/>
        <item x="8"/>
        <item x="5"/>
        <item x="166"/>
        <item x="193"/>
        <item x="20"/>
        <item x="64"/>
        <item x="222"/>
        <item x="103"/>
        <item x="291"/>
        <item x="177"/>
        <item x="259"/>
        <item x="109"/>
        <item x="50"/>
        <item x="363"/>
        <item x="349"/>
        <item x="200"/>
        <item x="38"/>
        <item x="171"/>
        <item x="225"/>
        <item x="153"/>
        <item x="295"/>
        <item x="218"/>
        <item x="138"/>
        <item x="82"/>
        <item x="307"/>
        <item x="233"/>
        <item x="192"/>
        <item x="387"/>
        <item x="249"/>
        <item x="224"/>
        <item x="49"/>
        <item x="389"/>
        <item x="294"/>
        <item x="390"/>
        <item x="405"/>
        <item t="default"/>
      </items>
    </pivotField>
  </pivotFields>
  <rowFields count="1">
    <field x="0"/>
  </rowFields>
  <rowItems count="11">
    <i>
      <x v="67"/>
    </i>
    <i>
      <x v="228"/>
    </i>
    <i>
      <x v="483"/>
    </i>
    <i>
      <x v="382"/>
    </i>
    <i>
      <x v="407"/>
    </i>
    <i>
      <x v="493"/>
    </i>
    <i>
      <x v="35"/>
    </i>
    <i>
      <x v="243"/>
    </i>
    <i>
      <x v="430"/>
    </i>
    <i>
      <x v="169"/>
    </i>
    <i t="grand">
      <x/>
    </i>
  </rowItems>
  <colItems count="1">
    <i/>
  </colItems>
  <dataFields count="1">
    <dataField name="Average of Strikerate" fld="5" subtotal="average" baseField="0" baseItem="0" numFmtId="2"/>
  </dataFields>
  <formats count="4">
    <format dxfId="12">
      <pivotArea collapsedLevelsAreSubtotals="1" fieldPosition="0">
        <references count="1">
          <reference field="0" count="1">
            <x v="67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</format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8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Batsman">
  <location ref="A3:B14" firstHeaderRow="1" firstDataRow="1" firstDataCol="1"/>
  <pivotFields count="6">
    <pivotField axis="axisRow" showAll="0" measureFilter="1" sortType="descending">
      <items count="518">
        <item x="146"/>
        <item x="454"/>
        <item x="280"/>
        <item x="339"/>
        <item x="455"/>
        <item x="272"/>
        <item x="189"/>
        <item x="386"/>
        <item x="316"/>
        <item x="126"/>
        <item x="320"/>
        <item x="367"/>
        <item x="297"/>
        <item x="482"/>
        <item x="72"/>
        <item x="465"/>
        <item x="452"/>
        <item x="444"/>
        <item x="263"/>
        <item x="401"/>
        <item x="157"/>
        <item x="417"/>
        <item x="173"/>
        <item x="294"/>
        <item x="8"/>
        <item x="337"/>
        <item x="209"/>
        <item x="509"/>
        <item x="213"/>
        <item x="28"/>
        <item x="358"/>
        <item x="172"/>
        <item x="251"/>
        <item x="87"/>
        <item x="240"/>
        <item x="49"/>
        <item x="429"/>
        <item x="412"/>
        <item x="290"/>
        <item x="39"/>
        <item x="235"/>
        <item x="119"/>
        <item x="90"/>
        <item x="10"/>
        <item x="314"/>
        <item x="431"/>
        <item x="271"/>
        <item x="185"/>
        <item x="432"/>
        <item x="307"/>
        <item x="319"/>
        <item x="245"/>
        <item x="130"/>
        <item x="400"/>
        <item x="80"/>
        <item x="377"/>
        <item x="162"/>
        <item x="69"/>
        <item x="13"/>
        <item x="302"/>
        <item x="460"/>
        <item x="122"/>
        <item x="254"/>
        <item x="147"/>
        <item x="168"/>
        <item x="450"/>
        <item x="207"/>
        <item x="443"/>
        <item x="317"/>
        <item x="440"/>
        <item x="92"/>
        <item x="324"/>
        <item x="470"/>
        <item x="15"/>
        <item x="206"/>
        <item x="406"/>
        <item x="153"/>
        <item x="492"/>
        <item x="166"/>
        <item x="373"/>
        <item x="51"/>
        <item x="163"/>
        <item x="345"/>
        <item x="300"/>
        <item x="137"/>
        <item x="167"/>
        <item x="382"/>
        <item x="174"/>
        <item x="501"/>
        <item x="353"/>
        <item x="56"/>
        <item x="121"/>
        <item x="5"/>
        <item x="103"/>
        <item x="99"/>
        <item x="232"/>
        <item x="463"/>
        <item x="420"/>
        <item x="379"/>
        <item x="425"/>
        <item x="73"/>
        <item x="178"/>
        <item x="171"/>
        <item x="269"/>
        <item x="456"/>
        <item x="416"/>
        <item x="467"/>
        <item x="323"/>
        <item x="394"/>
        <item x="217"/>
        <item x="201"/>
        <item x="35"/>
        <item x="3"/>
        <item x="398"/>
        <item x="136"/>
        <item x="124"/>
        <item x="354"/>
        <item x="176"/>
        <item x="45"/>
        <item x="222"/>
        <item x="102"/>
        <item x="54"/>
        <item x="237"/>
        <item x="495"/>
        <item x="303"/>
        <item x="142"/>
        <item x="261"/>
        <item x="212"/>
        <item x="436"/>
        <item x="409"/>
        <item x="451"/>
        <item x="494"/>
        <item x="36"/>
        <item x="364"/>
        <item x="24"/>
        <item x="228"/>
        <item x="375"/>
        <item x="110"/>
        <item x="392"/>
        <item x="181"/>
        <item x="112"/>
        <item x="78"/>
        <item x="343"/>
        <item x="388"/>
        <item x="34"/>
        <item x="453"/>
        <item x="169"/>
        <item x="9"/>
        <item x="351"/>
        <item x="86"/>
        <item x="457"/>
        <item x="145"/>
        <item x="91"/>
        <item x="50"/>
        <item x="383"/>
        <item x="111"/>
        <item x="359"/>
        <item x="484"/>
        <item x="490"/>
        <item x="264"/>
        <item x="459"/>
        <item x="469"/>
        <item x="79"/>
        <item x="372"/>
        <item x="362"/>
        <item x="76"/>
        <item x="64"/>
        <item x="97"/>
        <item x="223"/>
        <item x="433"/>
        <item x="277"/>
        <item x="435"/>
        <item x="507"/>
        <item x="60"/>
        <item x="360"/>
        <item x="243"/>
        <item x="255"/>
        <item x="88"/>
        <item x="246"/>
        <item x="347"/>
        <item x="109"/>
        <item x="117"/>
        <item x="512"/>
        <item x="421"/>
        <item x="278"/>
        <item x="331"/>
        <item x="411"/>
        <item x="439"/>
        <item x="71"/>
        <item x="419"/>
        <item x="52"/>
        <item x="94"/>
        <item x="275"/>
        <item x="224"/>
        <item x="296"/>
        <item x="468"/>
        <item x="132"/>
        <item x="23"/>
        <item x="309"/>
        <item x="170"/>
        <item x="371"/>
        <item x="335"/>
        <item x="306"/>
        <item x="313"/>
        <item x="30"/>
        <item x="101"/>
        <item x="115"/>
        <item x="500"/>
        <item x="156"/>
        <item x="192"/>
        <item x="357"/>
        <item x="262"/>
        <item x="403"/>
        <item x="18"/>
        <item x="414"/>
        <item x="200"/>
        <item x="472"/>
        <item x="402"/>
        <item x="285"/>
        <item x="341"/>
        <item x="42"/>
        <item x="11"/>
        <item x="75"/>
        <item x="393"/>
        <item x="218"/>
        <item x="47"/>
        <item x="31"/>
        <item x="63"/>
        <item x="449"/>
        <item x="474"/>
        <item x="68"/>
        <item x="55"/>
        <item x="292"/>
        <item x="134"/>
        <item x="312"/>
        <item x="508"/>
        <item x="311"/>
        <item x="260"/>
        <item x="491"/>
        <item x="321"/>
        <item x="248"/>
        <item x="139"/>
        <item x="489"/>
        <item x="225"/>
        <item x="65"/>
        <item x="298"/>
        <item x="118"/>
        <item x="66"/>
        <item x="138"/>
        <item x="458"/>
        <item x="499"/>
        <item x="151"/>
        <item x="221"/>
        <item x="258"/>
        <item x="334"/>
        <item x="104"/>
        <item x="330"/>
        <item x="204"/>
        <item x="356"/>
        <item x="405"/>
        <item x="276"/>
        <item x="322"/>
        <item x="399"/>
        <item x="21"/>
        <item x="67"/>
        <item x="496"/>
        <item x="58"/>
        <item x="342"/>
        <item x="233"/>
        <item x="44"/>
        <item x="478"/>
        <item x="74"/>
        <item x="205"/>
        <item x="154"/>
        <item x="389"/>
        <item x="32"/>
        <item x="175"/>
        <item x="179"/>
        <item x="215"/>
        <item x="231"/>
        <item x="149"/>
        <item x="148"/>
        <item x="242"/>
        <item x="17"/>
        <item x="40"/>
        <item x="61"/>
        <item x="304"/>
        <item x="208"/>
        <item x="184"/>
        <item x="180"/>
        <item x="477"/>
        <item x="471"/>
        <item x="268"/>
        <item x="193"/>
        <item x="279"/>
        <item x="326"/>
        <item x="108"/>
        <item x="155"/>
        <item x="81"/>
        <item x="6"/>
        <item x="229"/>
        <item x="350"/>
        <item x="488"/>
        <item x="120"/>
        <item x="430"/>
        <item x="177"/>
        <item x="62"/>
        <item x="194"/>
        <item x="511"/>
        <item x="211"/>
        <item x="361"/>
        <item x="497"/>
        <item x="336"/>
        <item x="113"/>
        <item x="283"/>
        <item x="348"/>
        <item x="43"/>
        <item x="106"/>
        <item x="448"/>
        <item x="423"/>
        <item x="202"/>
        <item x="498"/>
        <item x="129"/>
        <item x="127"/>
        <item x="493"/>
        <item x="369"/>
        <item x="504"/>
        <item x="366"/>
        <item x="95"/>
        <item x="16"/>
        <item x="182"/>
        <item x="428"/>
        <item x="376"/>
        <item x="107"/>
        <item x="159"/>
        <item x="252"/>
        <item x="344"/>
        <item x="486"/>
        <item x="96"/>
        <item x="378"/>
        <item x="236"/>
        <item x="442"/>
        <item x="374"/>
        <item x="46"/>
        <item x="123"/>
        <item x="128"/>
        <item x="434"/>
        <item x="365"/>
        <item x="188"/>
        <item x="27"/>
        <item x="187"/>
        <item x="466"/>
        <item x="183"/>
        <item x="286"/>
        <item x="445"/>
        <item x="150"/>
        <item x="267"/>
        <item x="363"/>
        <item x="266"/>
        <item x="220"/>
        <item x="135"/>
        <item x="33"/>
        <item x="84"/>
        <item x="226"/>
        <item x="385"/>
        <item x="247"/>
        <item x="186"/>
        <item x="481"/>
        <item x="2"/>
        <item x="214"/>
        <item x="325"/>
        <item x="227"/>
        <item x="133"/>
        <item x="282"/>
        <item x="506"/>
        <item x="38"/>
        <item x="265"/>
        <item x="355"/>
        <item x="281"/>
        <item x="259"/>
        <item x="100"/>
        <item x="475"/>
        <item x="461"/>
        <item x="239"/>
        <item x="287"/>
        <item x="7"/>
        <item x="196"/>
        <item x="273"/>
        <item x="390"/>
        <item x="48"/>
        <item x="340"/>
        <item x="234"/>
        <item x="4"/>
        <item x="299"/>
        <item x="105"/>
        <item x="199"/>
        <item x="241"/>
        <item x="404"/>
        <item x="515"/>
        <item x="513"/>
        <item x="505"/>
        <item x="391"/>
        <item x="327"/>
        <item x="308"/>
        <item x="238"/>
        <item x="479"/>
        <item x="253"/>
        <item x="441"/>
        <item x="380"/>
        <item x="125"/>
        <item x="318"/>
        <item x="328"/>
        <item x="464"/>
        <item x="191"/>
        <item x="381"/>
        <item x="114"/>
        <item x="93"/>
        <item x="195"/>
        <item x="164"/>
        <item x="338"/>
        <item x="288"/>
        <item x="333"/>
        <item x="438"/>
        <item x="197"/>
        <item x="476"/>
        <item x="53"/>
        <item x="230"/>
        <item x="387"/>
        <item x="485"/>
        <item x="22"/>
        <item x="250"/>
        <item x="85"/>
        <item x="446"/>
        <item x="487"/>
        <item x="480"/>
        <item x="284"/>
        <item x="447"/>
        <item x="1"/>
        <item x="295"/>
        <item x="160"/>
        <item x="244"/>
        <item x="418"/>
        <item x="152"/>
        <item x="190"/>
        <item x="415"/>
        <item x="116"/>
        <item x="315"/>
        <item x="310"/>
        <item x="161"/>
        <item x="141"/>
        <item x="305"/>
        <item x="82"/>
        <item x="29"/>
        <item x="25"/>
        <item x="12"/>
        <item x="41"/>
        <item x="437"/>
        <item x="57"/>
        <item x="83"/>
        <item x="77"/>
        <item x="510"/>
        <item x="293"/>
        <item x="26"/>
        <item x="131"/>
        <item x="349"/>
        <item x="395"/>
        <item x="346"/>
        <item x="407"/>
        <item x="408"/>
        <item x="329"/>
        <item x="396"/>
        <item x="397"/>
        <item x="413"/>
        <item x="219"/>
        <item x="89"/>
        <item x="59"/>
        <item x="158"/>
        <item x="424"/>
        <item x="256"/>
        <item x="422"/>
        <item x="503"/>
        <item x="426"/>
        <item x="140"/>
        <item x="301"/>
        <item x="203"/>
        <item x="210"/>
        <item x="0"/>
        <item x="514"/>
        <item x="20"/>
        <item x="98"/>
        <item x="332"/>
        <item x="370"/>
        <item x="289"/>
        <item x="462"/>
        <item x="427"/>
        <item x="483"/>
        <item x="144"/>
        <item x="384"/>
        <item x="198"/>
        <item x="274"/>
        <item x="257"/>
        <item x="270"/>
        <item x="37"/>
        <item x="249"/>
        <item x="410"/>
        <item x="368"/>
        <item x="143"/>
        <item x="70"/>
        <item x="502"/>
        <item x="291"/>
        <item x="14"/>
        <item x="473"/>
        <item x="352"/>
        <item x="19"/>
        <item x="165"/>
        <item x="216"/>
        <item x="5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85"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8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1">
    <i>
      <x v="486"/>
    </i>
    <i>
      <x v="437"/>
    </i>
    <i>
      <x v="368"/>
    </i>
    <i>
      <x v="112"/>
    </i>
    <i>
      <x v="392"/>
    </i>
    <i>
      <x v="92"/>
    </i>
    <i>
      <x v="299"/>
    </i>
    <i>
      <x v="385"/>
    </i>
    <i>
      <x v="24"/>
    </i>
    <i>
      <x v="147"/>
    </i>
    <i t="grand">
      <x/>
    </i>
  </rowItems>
  <colItems count="1">
    <i/>
  </colItems>
  <dataFields count="1">
    <dataField name=" Total_runs" fld="1" baseField="0" baseItem="0"/>
  </dataFields>
  <formats count="1">
    <format dxfId="13">
      <pivotArea type="all" dataOnly="0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Batsman">
  <location ref="A17:B23" firstHeaderRow="1" firstDataRow="1" firstDataCol="1"/>
  <pivotFields count="6">
    <pivotField axis="axisRow" showAll="0" measureFilter="1" sortType="descending">
      <items count="518">
        <item x="146"/>
        <item x="454"/>
        <item x="280"/>
        <item x="339"/>
        <item x="455"/>
        <item x="272"/>
        <item x="189"/>
        <item x="386"/>
        <item x="316"/>
        <item x="126"/>
        <item x="320"/>
        <item x="367"/>
        <item x="297"/>
        <item x="482"/>
        <item x="72"/>
        <item x="465"/>
        <item x="452"/>
        <item x="444"/>
        <item x="263"/>
        <item x="401"/>
        <item x="157"/>
        <item x="417"/>
        <item x="173"/>
        <item x="294"/>
        <item x="8"/>
        <item x="337"/>
        <item x="209"/>
        <item x="509"/>
        <item x="213"/>
        <item x="28"/>
        <item x="358"/>
        <item x="172"/>
        <item x="251"/>
        <item x="87"/>
        <item x="240"/>
        <item x="49"/>
        <item x="429"/>
        <item x="412"/>
        <item x="290"/>
        <item x="39"/>
        <item x="235"/>
        <item x="119"/>
        <item x="90"/>
        <item x="10"/>
        <item x="314"/>
        <item x="431"/>
        <item x="271"/>
        <item x="185"/>
        <item x="432"/>
        <item x="307"/>
        <item x="319"/>
        <item x="245"/>
        <item x="130"/>
        <item x="400"/>
        <item x="80"/>
        <item x="377"/>
        <item x="162"/>
        <item x="69"/>
        <item x="13"/>
        <item x="302"/>
        <item x="460"/>
        <item x="122"/>
        <item x="254"/>
        <item x="147"/>
        <item x="168"/>
        <item x="450"/>
        <item x="207"/>
        <item x="443"/>
        <item x="317"/>
        <item x="440"/>
        <item x="92"/>
        <item x="324"/>
        <item x="470"/>
        <item x="15"/>
        <item x="206"/>
        <item x="406"/>
        <item x="153"/>
        <item x="492"/>
        <item x="166"/>
        <item x="373"/>
        <item x="51"/>
        <item x="163"/>
        <item x="345"/>
        <item x="300"/>
        <item x="137"/>
        <item x="167"/>
        <item x="382"/>
        <item x="174"/>
        <item x="501"/>
        <item x="353"/>
        <item x="56"/>
        <item x="121"/>
        <item x="5"/>
        <item x="103"/>
        <item x="99"/>
        <item x="232"/>
        <item x="463"/>
        <item x="420"/>
        <item x="379"/>
        <item x="425"/>
        <item x="73"/>
        <item x="178"/>
        <item x="171"/>
        <item x="269"/>
        <item x="456"/>
        <item x="416"/>
        <item x="467"/>
        <item x="323"/>
        <item x="394"/>
        <item x="217"/>
        <item x="201"/>
        <item x="35"/>
        <item x="3"/>
        <item x="398"/>
        <item x="136"/>
        <item x="124"/>
        <item x="354"/>
        <item x="176"/>
        <item x="45"/>
        <item x="222"/>
        <item x="102"/>
        <item x="54"/>
        <item x="237"/>
        <item x="495"/>
        <item x="303"/>
        <item x="142"/>
        <item x="261"/>
        <item x="212"/>
        <item x="436"/>
        <item x="409"/>
        <item x="451"/>
        <item x="494"/>
        <item x="36"/>
        <item x="364"/>
        <item x="24"/>
        <item x="228"/>
        <item x="375"/>
        <item x="110"/>
        <item x="392"/>
        <item x="181"/>
        <item x="112"/>
        <item x="78"/>
        <item x="343"/>
        <item x="388"/>
        <item x="34"/>
        <item x="453"/>
        <item x="169"/>
        <item x="9"/>
        <item x="351"/>
        <item x="86"/>
        <item x="457"/>
        <item x="145"/>
        <item x="91"/>
        <item x="50"/>
        <item x="383"/>
        <item x="111"/>
        <item x="359"/>
        <item x="484"/>
        <item x="490"/>
        <item x="264"/>
        <item x="459"/>
        <item x="469"/>
        <item x="79"/>
        <item x="372"/>
        <item x="362"/>
        <item x="76"/>
        <item x="64"/>
        <item x="97"/>
        <item x="223"/>
        <item x="433"/>
        <item x="277"/>
        <item x="435"/>
        <item x="507"/>
        <item x="60"/>
        <item x="360"/>
        <item x="243"/>
        <item x="255"/>
        <item x="88"/>
        <item x="246"/>
        <item x="347"/>
        <item x="109"/>
        <item x="117"/>
        <item x="512"/>
        <item x="421"/>
        <item x="278"/>
        <item x="331"/>
        <item x="411"/>
        <item x="439"/>
        <item x="71"/>
        <item x="419"/>
        <item x="52"/>
        <item x="94"/>
        <item x="275"/>
        <item x="224"/>
        <item x="296"/>
        <item x="468"/>
        <item x="132"/>
        <item x="23"/>
        <item x="309"/>
        <item x="170"/>
        <item x="371"/>
        <item x="335"/>
        <item x="306"/>
        <item x="313"/>
        <item x="30"/>
        <item x="101"/>
        <item x="115"/>
        <item x="500"/>
        <item x="156"/>
        <item x="192"/>
        <item x="357"/>
        <item x="262"/>
        <item x="403"/>
        <item x="18"/>
        <item x="414"/>
        <item x="200"/>
        <item x="472"/>
        <item x="402"/>
        <item x="285"/>
        <item x="341"/>
        <item x="42"/>
        <item x="11"/>
        <item x="75"/>
        <item x="393"/>
        <item x="218"/>
        <item x="47"/>
        <item x="31"/>
        <item x="63"/>
        <item x="449"/>
        <item x="474"/>
        <item x="68"/>
        <item x="55"/>
        <item x="292"/>
        <item x="134"/>
        <item x="312"/>
        <item x="508"/>
        <item x="311"/>
        <item x="260"/>
        <item x="491"/>
        <item x="321"/>
        <item x="248"/>
        <item x="139"/>
        <item x="489"/>
        <item x="225"/>
        <item x="65"/>
        <item x="298"/>
        <item x="118"/>
        <item x="66"/>
        <item x="138"/>
        <item x="458"/>
        <item x="499"/>
        <item x="151"/>
        <item x="221"/>
        <item x="258"/>
        <item x="334"/>
        <item x="104"/>
        <item x="330"/>
        <item x="204"/>
        <item x="356"/>
        <item x="405"/>
        <item x="276"/>
        <item x="322"/>
        <item x="399"/>
        <item x="21"/>
        <item x="67"/>
        <item x="496"/>
        <item x="58"/>
        <item x="342"/>
        <item x="233"/>
        <item x="44"/>
        <item x="478"/>
        <item x="74"/>
        <item x="205"/>
        <item x="154"/>
        <item x="389"/>
        <item x="32"/>
        <item x="175"/>
        <item x="179"/>
        <item x="215"/>
        <item x="231"/>
        <item x="149"/>
        <item x="148"/>
        <item x="242"/>
        <item x="17"/>
        <item x="40"/>
        <item x="61"/>
        <item x="304"/>
        <item x="208"/>
        <item x="184"/>
        <item x="180"/>
        <item x="477"/>
        <item x="471"/>
        <item x="268"/>
        <item x="193"/>
        <item x="279"/>
        <item x="326"/>
        <item x="108"/>
        <item x="155"/>
        <item x="81"/>
        <item x="6"/>
        <item x="229"/>
        <item x="350"/>
        <item x="488"/>
        <item x="120"/>
        <item x="430"/>
        <item x="177"/>
        <item x="62"/>
        <item x="194"/>
        <item x="511"/>
        <item x="211"/>
        <item x="361"/>
        <item x="497"/>
        <item x="336"/>
        <item x="113"/>
        <item x="283"/>
        <item x="348"/>
        <item x="43"/>
        <item x="106"/>
        <item x="448"/>
        <item x="423"/>
        <item x="202"/>
        <item x="498"/>
        <item x="129"/>
        <item x="127"/>
        <item x="493"/>
        <item x="369"/>
        <item x="504"/>
        <item x="366"/>
        <item x="95"/>
        <item x="16"/>
        <item x="182"/>
        <item x="428"/>
        <item x="376"/>
        <item x="107"/>
        <item x="159"/>
        <item x="252"/>
        <item x="344"/>
        <item x="486"/>
        <item x="96"/>
        <item x="378"/>
        <item x="236"/>
        <item x="442"/>
        <item x="374"/>
        <item x="46"/>
        <item x="123"/>
        <item x="128"/>
        <item x="434"/>
        <item x="365"/>
        <item x="188"/>
        <item x="27"/>
        <item x="187"/>
        <item x="466"/>
        <item x="183"/>
        <item x="286"/>
        <item x="445"/>
        <item x="150"/>
        <item x="267"/>
        <item x="363"/>
        <item x="266"/>
        <item x="220"/>
        <item x="135"/>
        <item x="33"/>
        <item x="84"/>
        <item x="226"/>
        <item x="385"/>
        <item x="247"/>
        <item x="186"/>
        <item x="481"/>
        <item x="2"/>
        <item x="214"/>
        <item x="325"/>
        <item x="227"/>
        <item x="133"/>
        <item x="282"/>
        <item x="506"/>
        <item x="38"/>
        <item x="265"/>
        <item x="355"/>
        <item x="281"/>
        <item x="259"/>
        <item x="100"/>
        <item x="475"/>
        <item x="461"/>
        <item x="239"/>
        <item x="287"/>
        <item x="7"/>
        <item x="196"/>
        <item x="273"/>
        <item x="390"/>
        <item x="48"/>
        <item x="340"/>
        <item x="234"/>
        <item x="4"/>
        <item x="299"/>
        <item x="105"/>
        <item x="199"/>
        <item x="241"/>
        <item x="404"/>
        <item x="515"/>
        <item x="513"/>
        <item x="505"/>
        <item x="391"/>
        <item x="327"/>
        <item x="308"/>
        <item x="238"/>
        <item x="479"/>
        <item x="253"/>
        <item x="441"/>
        <item x="380"/>
        <item x="125"/>
        <item x="318"/>
        <item x="328"/>
        <item x="464"/>
        <item x="191"/>
        <item x="381"/>
        <item x="114"/>
        <item x="93"/>
        <item x="195"/>
        <item x="164"/>
        <item x="338"/>
        <item x="288"/>
        <item x="333"/>
        <item x="438"/>
        <item x="197"/>
        <item x="476"/>
        <item x="53"/>
        <item x="230"/>
        <item x="387"/>
        <item x="485"/>
        <item x="22"/>
        <item x="250"/>
        <item x="85"/>
        <item x="446"/>
        <item x="487"/>
        <item x="480"/>
        <item x="284"/>
        <item x="447"/>
        <item x="1"/>
        <item x="295"/>
        <item x="160"/>
        <item x="244"/>
        <item x="418"/>
        <item x="152"/>
        <item x="190"/>
        <item x="415"/>
        <item x="116"/>
        <item x="315"/>
        <item x="310"/>
        <item x="161"/>
        <item x="141"/>
        <item x="305"/>
        <item x="82"/>
        <item x="29"/>
        <item x="25"/>
        <item x="12"/>
        <item x="41"/>
        <item x="437"/>
        <item x="57"/>
        <item x="83"/>
        <item x="77"/>
        <item x="510"/>
        <item x="293"/>
        <item x="26"/>
        <item x="131"/>
        <item x="349"/>
        <item x="395"/>
        <item x="346"/>
        <item x="407"/>
        <item x="408"/>
        <item x="329"/>
        <item x="396"/>
        <item x="397"/>
        <item x="413"/>
        <item x="219"/>
        <item x="89"/>
        <item x="59"/>
        <item x="158"/>
        <item x="424"/>
        <item x="256"/>
        <item x="422"/>
        <item x="503"/>
        <item x="426"/>
        <item x="140"/>
        <item x="301"/>
        <item x="203"/>
        <item x="210"/>
        <item x="0"/>
        <item x="514"/>
        <item x="20"/>
        <item x="98"/>
        <item x="332"/>
        <item x="370"/>
        <item x="289"/>
        <item x="462"/>
        <item x="427"/>
        <item x="483"/>
        <item x="144"/>
        <item x="384"/>
        <item x="198"/>
        <item x="274"/>
        <item x="257"/>
        <item x="270"/>
        <item x="37"/>
        <item x="249"/>
        <item x="410"/>
        <item x="368"/>
        <item x="143"/>
        <item x="70"/>
        <item x="502"/>
        <item x="291"/>
        <item x="14"/>
        <item x="473"/>
        <item x="352"/>
        <item x="19"/>
        <item x="165"/>
        <item x="216"/>
        <item x="5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325">
        <item x="323"/>
        <item x="322"/>
        <item x="320"/>
        <item x="318"/>
        <item x="321"/>
        <item x="304"/>
        <item x="317"/>
        <item x="319"/>
        <item x="286"/>
        <item x="314"/>
        <item x="316"/>
        <item x="307"/>
        <item x="312"/>
        <item x="290"/>
        <item x="315"/>
        <item x="296"/>
        <item x="292"/>
        <item x="262"/>
        <item x="313"/>
        <item x="311"/>
        <item x="310"/>
        <item x="308"/>
        <item x="297"/>
        <item x="274"/>
        <item x="279"/>
        <item x="272"/>
        <item x="305"/>
        <item x="294"/>
        <item x="303"/>
        <item x="253"/>
        <item x="301"/>
        <item x="309"/>
        <item x="299"/>
        <item x="283"/>
        <item x="255"/>
        <item x="265"/>
        <item x="234"/>
        <item x="263"/>
        <item x="306"/>
        <item x="177"/>
        <item x="276"/>
        <item x="293"/>
        <item x="209"/>
        <item x="259"/>
        <item x="240"/>
        <item x="165"/>
        <item x="266"/>
        <item x="291"/>
        <item x="302"/>
        <item x="289"/>
        <item x="219"/>
        <item x="202"/>
        <item x="261"/>
        <item x="231"/>
        <item x="277"/>
        <item x="300"/>
        <item x="208"/>
        <item x="267"/>
        <item x="129"/>
        <item x="239"/>
        <item x="204"/>
        <item x="264"/>
        <item x="287"/>
        <item x="158"/>
        <item x="295"/>
        <item x="198"/>
        <item x="260"/>
        <item x="285"/>
        <item x="270"/>
        <item x="243"/>
        <item x="222"/>
        <item x="258"/>
        <item x="221"/>
        <item x="269"/>
        <item x="282"/>
        <item x="230"/>
        <item x="123"/>
        <item x="199"/>
        <item x="228"/>
        <item x="238"/>
        <item x="249"/>
        <item x="96"/>
        <item x="268"/>
        <item x="128"/>
        <item x="190"/>
        <item x="135"/>
        <item x="175"/>
        <item x="188"/>
        <item x="278"/>
        <item x="201"/>
        <item x="245"/>
        <item x="254"/>
        <item x="126"/>
        <item x="241"/>
        <item x="211"/>
        <item x="168"/>
        <item x="227"/>
        <item x="217"/>
        <item x="275"/>
        <item x="216"/>
        <item x="251"/>
        <item x="180"/>
        <item x="250"/>
        <item x="236"/>
        <item x="118"/>
        <item x="273"/>
        <item x="127"/>
        <item x="130"/>
        <item x="223"/>
        <item x="182"/>
        <item x="288"/>
        <item x="220"/>
        <item x="79"/>
        <item x="140"/>
        <item x="134"/>
        <item x="244"/>
        <item x="191"/>
        <item x="242"/>
        <item x="155"/>
        <item x="145"/>
        <item x="256"/>
        <item x="153"/>
        <item x="102"/>
        <item x="181"/>
        <item x="195"/>
        <item x="214"/>
        <item x="150"/>
        <item x="225"/>
        <item x="141"/>
        <item x="178"/>
        <item x="213"/>
        <item x="210"/>
        <item x="154"/>
        <item x="149"/>
        <item x="192"/>
        <item x="111"/>
        <item x="207"/>
        <item x="90"/>
        <item x="206"/>
        <item x="146"/>
        <item x="144"/>
        <item x="160"/>
        <item x="113"/>
        <item x="172"/>
        <item x="131"/>
        <item x="189"/>
        <item x="200"/>
        <item x="232"/>
        <item x="187"/>
        <item x="229"/>
        <item x="119"/>
        <item x="246"/>
        <item x="186"/>
        <item x="164"/>
        <item x="194"/>
        <item x="117"/>
        <item x="80"/>
        <item x="110"/>
        <item x="193"/>
        <item x="124"/>
        <item x="174"/>
        <item x="101"/>
        <item x="173"/>
        <item x="58"/>
        <item x="143"/>
        <item x="212"/>
        <item x="133"/>
        <item x="224"/>
        <item x="82"/>
        <item x="142"/>
        <item x="171"/>
        <item x="183"/>
        <item x="77"/>
        <item x="137"/>
        <item x="166"/>
        <item x="122"/>
        <item x="125"/>
        <item x="94"/>
        <item x="93"/>
        <item x="271"/>
        <item x="43"/>
        <item x="92"/>
        <item x="104"/>
        <item x="81"/>
        <item x="44"/>
        <item x="121"/>
        <item x="152"/>
        <item x="235"/>
        <item x="159"/>
        <item x="184"/>
        <item x="85"/>
        <item x="60"/>
        <item x="114"/>
        <item x="252"/>
        <item x="170"/>
        <item x="78"/>
        <item x="89"/>
        <item x="16"/>
        <item x="148"/>
        <item x="50"/>
        <item x="88"/>
        <item x="91"/>
        <item x="116"/>
        <item x="107"/>
        <item x="33"/>
        <item x="87"/>
        <item x="70"/>
        <item x="63"/>
        <item x="248"/>
        <item x="45"/>
        <item x="226"/>
        <item x="37"/>
        <item x="162"/>
        <item x="47"/>
        <item x="151"/>
        <item x="67"/>
        <item x="205"/>
        <item x="247"/>
        <item x="71"/>
        <item x="42"/>
        <item x="99"/>
        <item x="115"/>
        <item x="203"/>
        <item x="86"/>
        <item x="66"/>
        <item x="53"/>
        <item x="185"/>
        <item x="95"/>
        <item x="19"/>
        <item x="136"/>
        <item x="197"/>
        <item x="103"/>
        <item x="120"/>
        <item x="39"/>
        <item x="83"/>
        <item x="218"/>
        <item x="11"/>
        <item x="237"/>
        <item x="18"/>
        <item x="28"/>
        <item x="15"/>
        <item x="23"/>
        <item x="112"/>
        <item x="62"/>
        <item x="139"/>
        <item x="54"/>
        <item x="161"/>
        <item x="74"/>
        <item x="76"/>
        <item x="73"/>
        <item x="147"/>
        <item x="20"/>
        <item x="21"/>
        <item x="100"/>
        <item x="75"/>
        <item x="26"/>
        <item x="59"/>
        <item x="84"/>
        <item x="27"/>
        <item x="36"/>
        <item x="40"/>
        <item x="7"/>
        <item x="69"/>
        <item x="64"/>
        <item x="13"/>
        <item x="14"/>
        <item x="24"/>
        <item x="132"/>
        <item x="41"/>
        <item x="48"/>
        <item x="17"/>
        <item x="169"/>
        <item x="138"/>
        <item x="57"/>
        <item x="51"/>
        <item x="2"/>
        <item x="257"/>
        <item x="163"/>
        <item x="12"/>
        <item x="9"/>
        <item x="108"/>
        <item x="196"/>
        <item x="46"/>
        <item x="10"/>
        <item x="25"/>
        <item x="284"/>
        <item x="98"/>
        <item x="34"/>
        <item x="4"/>
        <item x="1"/>
        <item x="156"/>
        <item x="35"/>
        <item x="49"/>
        <item x="29"/>
        <item x="56"/>
        <item x="281"/>
        <item x="0"/>
        <item x="68"/>
        <item x="280"/>
        <item x="38"/>
        <item x="105"/>
        <item x="167"/>
        <item x="215"/>
        <item x="72"/>
        <item x="6"/>
        <item x="52"/>
        <item x="32"/>
        <item x="22"/>
        <item x="55"/>
        <item x="106"/>
        <item x="65"/>
        <item x="179"/>
        <item x="31"/>
        <item x="61"/>
        <item x="5"/>
        <item x="3"/>
        <item x="30"/>
        <item x="8"/>
        <item x="97"/>
        <item x="157"/>
        <item x="176"/>
        <item x="109"/>
        <item x="233"/>
        <item x="298"/>
        <item t="default"/>
      </items>
    </pivotField>
    <pivotField showAll="0"/>
  </pivotFields>
  <rowFields count="1">
    <field x="0"/>
  </rowFields>
  <rowItems count="6">
    <i>
      <x v="175"/>
    </i>
    <i>
      <x v="180"/>
    </i>
    <i>
      <x v="289"/>
    </i>
    <i>
      <x v="334"/>
    </i>
    <i>
      <x v="167"/>
    </i>
    <i t="grand">
      <x/>
    </i>
  </rowItems>
  <colItems count="1">
    <i/>
  </colItems>
  <dataFields count="1">
    <dataField name="Average of Average" fld="4" subtotal="average" baseField="0" baseItem="0" numFmtId="2"/>
  </dataFields>
  <formats count="5">
    <format dxfId="18">
      <pivotArea collapsedLevelsAreSubtotals="1" fieldPosition="0">
        <references count="1">
          <reference field="0" count="1">
            <x v="175"/>
          </reference>
        </references>
      </pivotArea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type="all" dataOnly="0" outline="0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5" filterVal="5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BATSMAN">
  <location ref="D19:F31" firstHeaderRow="1" firstDataRow="2" firstDataCol="1"/>
  <pivotFields count="6">
    <pivotField axis="axisRow" showAll="0" measureFilter="1" sortType="descending">
      <items count="518">
        <item x="146"/>
        <item x="454"/>
        <item x="280"/>
        <item x="339"/>
        <item x="455"/>
        <item x="272"/>
        <item x="189"/>
        <item x="386"/>
        <item x="316"/>
        <item x="126"/>
        <item x="320"/>
        <item x="367"/>
        <item x="297"/>
        <item x="482"/>
        <item x="72"/>
        <item x="465"/>
        <item x="452"/>
        <item x="444"/>
        <item x="263"/>
        <item x="401"/>
        <item x="157"/>
        <item x="417"/>
        <item x="173"/>
        <item x="294"/>
        <item x="8"/>
        <item x="337"/>
        <item x="209"/>
        <item x="509"/>
        <item x="213"/>
        <item x="28"/>
        <item x="358"/>
        <item x="172"/>
        <item x="251"/>
        <item x="87"/>
        <item x="240"/>
        <item x="49"/>
        <item x="429"/>
        <item x="412"/>
        <item x="290"/>
        <item x="39"/>
        <item x="235"/>
        <item x="119"/>
        <item x="90"/>
        <item x="10"/>
        <item x="314"/>
        <item x="431"/>
        <item x="271"/>
        <item x="185"/>
        <item x="432"/>
        <item x="307"/>
        <item x="319"/>
        <item x="245"/>
        <item x="130"/>
        <item x="400"/>
        <item x="80"/>
        <item x="377"/>
        <item x="162"/>
        <item x="69"/>
        <item x="13"/>
        <item x="302"/>
        <item x="460"/>
        <item x="122"/>
        <item x="254"/>
        <item x="147"/>
        <item x="168"/>
        <item x="450"/>
        <item x="207"/>
        <item x="443"/>
        <item x="317"/>
        <item x="440"/>
        <item x="92"/>
        <item x="324"/>
        <item x="470"/>
        <item x="15"/>
        <item x="206"/>
        <item x="406"/>
        <item x="153"/>
        <item x="492"/>
        <item x="166"/>
        <item x="373"/>
        <item x="51"/>
        <item x="163"/>
        <item x="345"/>
        <item x="300"/>
        <item x="137"/>
        <item x="167"/>
        <item x="382"/>
        <item x="174"/>
        <item x="501"/>
        <item x="353"/>
        <item x="56"/>
        <item x="121"/>
        <item x="5"/>
        <item x="103"/>
        <item x="99"/>
        <item x="232"/>
        <item x="463"/>
        <item x="420"/>
        <item x="379"/>
        <item x="425"/>
        <item x="73"/>
        <item x="178"/>
        <item x="171"/>
        <item x="269"/>
        <item x="456"/>
        <item x="416"/>
        <item x="467"/>
        <item x="323"/>
        <item x="394"/>
        <item x="217"/>
        <item x="201"/>
        <item x="35"/>
        <item x="3"/>
        <item x="398"/>
        <item x="136"/>
        <item x="124"/>
        <item x="354"/>
        <item x="176"/>
        <item x="45"/>
        <item x="222"/>
        <item x="102"/>
        <item x="54"/>
        <item x="237"/>
        <item x="495"/>
        <item x="303"/>
        <item x="142"/>
        <item x="261"/>
        <item x="212"/>
        <item x="436"/>
        <item x="409"/>
        <item x="451"/>
        <item x="494"/>
        <item x="36"/>
        <item x="364"/>
        <item x="24"/>
        <item x="228"/>
        <item x="375"/>
        <item x="110"/>
        <item x="392"/>
        <item x="181"/>
        <item x="112"/>
        <item x="78"/>
        <item x="343"/>
        <item x="388"/>
        <item x="34"/>
        <item x="453"/>
        <item x="169"/>
        <item x="9"/>
        <item x="351"/>
        <item x="86"/>
        <item x="457"/>
        <item x="145"/>
        <item x="91"/>
        <item x="50"/>
        <item x="383"/>
        <item x="111"/>
        <item x="359"/>
        <item x="484"/>
        <item x="490"/>
        <item x="264"/>
        <item x="459"/>
        <item x="469"/>
        <item x="79"/>
        <item x="372"/>
        <item x="362"/>
        <item x="76"/>
        <item x="64"/>
        <item x="97"/>
        <item x="223"/>
        <item x="433"/>
        <item x="277"/>
        <item x="435"/>
        <item x="507"/>
        <item x="60"/>
        <item x="360"/>
        <item x="243"/>
        <item x="255"/>
        <item x="88"/>
        <item x="246"/>
        <item x="347"/>
        <item x="109"/>
        <item x="117"/>
        <item x="512"/>
        <item x="421"/>
        <item x="278"/>
        <item x="331"/>
        <item x="411"/>
        <item x="439"/>
        <item x="71"/>
        <item x="419"/>
        <item x="52"/>
        <item x="94"/>
        <item x="275"/>
        <item x="224"/>
        <item x="296"/>
        <item x="468"/>
        <item x="132"/>
        <item x="23"/>
        <item x="309"/>
        <item x="170"/>
        <item x="371"/>
        <item x="335"/>
        <item x="306"/>
        <item x="313"/>
        <item x="30"/>
        <item x="101"/>
        <item x="115"/>
        <item x="500"/>
        <item x="156"/>
        <item x="192"/>
        <item x="357"/>
        <item x="262"/>
        <item x="403"/>
        <item x="18"/>
        <item x="414"/>
        <item x="200"/>
        <item x="472"/>
        <item x="402"/>
        <item x="285"/>
        <item x="341"/>
        <item x="42"/>
        <item x="11"/>
        <item x="75"/>
        <item x="393"/>
        <item x="218"/>
        <item x="47"/>
        <item x="31"/>
        <item x="63"/>
        <item x="449"/>
        <item x="474"/>
        <item x="68"/>
        <item x="55"/>
        <item x="292"/>
        <item x="134"/>
        <item x="312"/>
        <item x="508"/>
        <item x="311"/>
        <item x="260"/>
        <item x="491"/>
        <item x="321"/>
        <item x="248"/>
        <item x="139"/>
        <item x="489"/>
        <item x="225"/>
        <item x="65"/>
        <item x="298"/>
        <item x="118"/>
        <item x="66"/>
        <item x="138"/>
        <item x="458"/>
        <item x="499"/>
        <item x="151"/>
        <item x="221"/>
        <item x="258"/>
        <item x="334"/>
        <item x="104"/>
        <item x="330"/>
        <item x="204"/>
        <item x="356"/>
        <item x="405"/>
        <item x="276"/>
        <item x="322"/>
        <item x="399"/>
        <item x="21"/>
        <item x="67"/>
        <item x="496"/>
        <item x="58"/>
        <item x="342"/>
        <item x="233"/>
        <item x="44"/>
        <item x="478"/>
        <item x="74"/>
        <item x="205"/>
        <item x="154"/>
        <item x="389"/>
        <item x="32"/>
        <item x="175"/>
        <item x="179"/>
        <item x="215"/>
        <item x="231"/>
        <item x="149"/>
        <item x="148"/>
        <item x="242"/>
        <item x="17"/>
        <item x="40"/>
        <item x="61"/>
        <item x="304"/>
        <item x="208"/>
        <item x="184"/>
        <item x="180"/>
        <item x="477"/>
        <item x="471"/>
        <item x="268"/>
        <item x="193"/>
        <item x="279"/>
        <item x="326"/>
        <item x="108"/>
        <item x="155"/>
        <item x="81"/>
        <item x="6"/>
        <item x="229"/>
        <item x="350"/>
        <item x="488"/>
        <item x="120"/>
        <item x="430"/>
        <item x="177"/>
        <item x="62"/>
        <item x="194"/>
        <item x="511"/>
        <item x="211"/>
        <item x="361"/>
        <item x="497"/>
        <item x="336"/>
        <item x="113"/>
        <item x="283"/>
        <item x="348"/>
        <item x="43"/>
        <item x="106"/>
        <item x="448"/>
        <item x="423"/>
        <item x="202"/>
        <item x="498"/>
        <item x="129"/>
        <item x="127"/>
        <item x="493"/>
        <item x="369"/>
        <item x="504"/>
        <item x="366"/>
        <item x="95"/>
        <item x="16"/>
        <item x="182"/>
        <item x="428"/>
        <item x="376"/>
        <item x="107"/>
        <item x="159"/>
        <item x="252"/>
        <item x="344"/>
        <item x="486"/>
        <item x="96"/>
        <item x="378"/>
        <item x="236"/>
        <item x="442"/>
        <item x="374"/>
        <item x="46"/>
        <item x="123"/>
        <item x="128"/>
        <item x="434"/>
        <item x="365"/>
        <item x="188"/>
        <item x="27"/>
        <item x="187"/>
        <item x="466"/>
        <item x="183"/>
        <item x="286"/>
        <item x="445"/>
        <item x="150"/>
        <item x="267"/>
        <item x="363"/>
        <item x="266"/>
        <item x="220"/>
        <item x="135"/>
        <item x="33"/>
        <item x="84"/>
        <item x="226"/>
        <item x="385"/>
        <item x="247"/>
        <item x="186"/>
        <item x="481"/>
        <item x="2"/>
        <item x="214"/>
        <item x="325"/>
        <item x="227"/>
        <item x="133"/>
        <item x="282"/>
        <item x="506"/>
        <item x="38"/>
        <item x="265"/>
        <item x="355"/>
        <item x="281"/>
        <item x="259"/>
        <item x="100"/>
        <item x="475"/>
        <item x="461"/>
        <item x="239"/>
        <item x="287"/>
        <item x="7"/>
        <item x="196"/>
        <item x="273"/>
        <item x="390"/>
        <item x="48"/>
        <item x="340"/>
        <item x="234"/>
        <item x="4"/>
        <item x="299"/>
        <item x="105"/>
        <item x="199"/>
        <item x="241"/>
        <item x="404"/>
        <item x="515"/>
        <item x="513"/>
        <item x="505"/>
        <item x="391"/>
        <item x="327"/>
        <item x="308"/>
        <item x="238"/>
        <item x="479"/>
        <item x="253"/>
        <item x="441"/>
        <item x="380"/>
        <item x="125"/>
        <item x="318"/>
        <item x="328"/>
        <item x="464"/>
        <item x="191"/>
        <item x="381"/>
        <item x="114"/>
        <item x="93"/>
        <item x="195"/>
        <item x="164"/>
        <item x="338"/>
        <item x="288"/>
        <item x="333"/>
        <item x="438"/>
        <item x="197"/>
        <item x="476"/>
        <item x="53"/>
        <item x="230"/>
        <item x="387"/>
        <item x="485"/>
        <item x="22"/>
        <item x="250"/>
        <item x="85"/>
        <item x="446"/>
        <item x="487"/>
        <item x="480"/>
        <item x="284"/>
        <item x="447"/>
        <item x="1"/>
        <item x="295"/>
        <item x="160"/>
        <item x="244"/>
        <item x="418"/>
        <item x="152"/>
        <item x="190"/>
        <item x="415"/>
        <item x="116"/>
        <item x="315"/>
        <item x="310"/>
        <item x="161"/>
        <item x="141"/>
        <item x="305"/>
        <item x="82"/>
        <item x="29"/>
        <item x="25"/>
        <item x="12"/>
        <item x="41"/>
        <item x="437"/>
        <item x="57"/>
        <item x="83"/>
        <item x="77"/>
        <item x="510"/>
        <item x="293"/>
        <item x="26"/>
        <item x="131"/>
        <item x="349"/>
        <item x="395"/>
        <item x="346"/>
        <item x="407"/>
        <item x="408"/>
        <item x="329"/>
        <item x="396"/>
        <item x="397"/>
        <item x="413"/>
        <item x="219"/>
        <item x="89"/>
        <item x="59"/>
        <item x="158"/>
        <item x="424"/>
        <item x="256"/>
        <item x="422"/>
        <item x="503"/>
        <item x="426"/>
        <item x="140"/>
        <item x="301"/>
        <item x="203"/>
        <item x="210"/>
        <item x="0"/>
        <item x="514"/>
        <item x="20"/>
        <item x="98"/>
        <item x="332"/>
        <item x="370"/>
        <item x="289"/>
        <item x="462"/>
        <item x="427"/>
        <item x="483"/>
        <item x="144"/>
        <item x="384"/>
        <item x="198"/>
        <item x="274"/>
        <item x="257"/>
        <item x="270"/>
        <item x="37"/>
        <item x="249"/>
        <item x="410"/>
        <item x="368"/>
        <item x="143"/>
        <item x="70"/>
        <item x="502"/>
        <item x="291"/>
        <item x="14"/>
        <item x="473"/>
        <item x="352"/>
        <item x="19"/>
        <item x="165"/>
        <item x="216"/>
        <item x="5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85"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83"/>
        <item t="default"/>
      </items>
    </pivotField>
    <pivotField dataField="1" showAll="0">
      <items count="91">
        <item x="88"/>
        <item x="86"/>
        <item x="87"/>
        <item x="85"/>
        <item x="80"/>
        <item x="84"/>
        <item x="79"/>
        <item x="82"/>
        <item x="72"/>
        <item x="81"/>
        <item x="78"/>
        <item x="75"/>
        <item x="77"/>
        <item x="64"/>
        <item x="70"/>
        <item x="71"/>
        <item x="73"/>
        <item x="65"/>
        <item x="74"/>
        <item x="67"/>
        <item x="69"/>
        <item x="76"/>
        <item x="66"/>
        <item x="83"/>
        <item x="62"/>
        <item x="54"/>
        <item x="49"/>
        <item x="52"/>
        <item x="58"/>
        <item x="59"/>
        <item x="60"/>
        <item x="55"/>
        <item x="68"/>
        <item x="46"/>
        <item x="53"/>
        <item x="45"/>
        <item x="51"/>
        <item x="61"/>
        <item x="50"/>
        <item x="43"/>
        <item x="47"/>
        <item x="57"/>
        <item x="56"/>
        <item x="40"/>
        <item x="42"/>
        <item x="28"/>
        <item x="63"/>
        <item x="29"/>
        <item x="32"/>
        <item x="31"/>
        <item x="37"/>
        <item x="27"/>
        <item x="36"/>
        <item x="41"/>
        <item x="44"/>
        <item x="39"/>
        <item x="33"/>
        <item x="20"/>
        <item x="35"/>
        <item x="48"/>
        <item x="38"/>
        <item x="23"/>
        <item x="34"/>
        <item x="26"/>
        <item x="25"/>
        <item x="24"/>
        <item x="22"/>
        <item x="30"/>
        <item x="21"/>
        <item x="19"/>
        <item x="15"/>
        <item x="18"/>
        <item x="16"/>
        <item x="8"/>
        <item x="13"/>
        <item x="17"/>
        <item x="5"/>
        <item x="3"/>
        <item x="12"/>
        <item x="10"/>
        <item x="6"/>
        <item x="14"/>
        <item x="9"/>
        <item x="4"/>
        <item x="11"/>
        <item x="0"/>
        <item x="7"/>
        <item x="1"/>
        <item x="2"/>
        <item x="89"/>
        <item t="default"/>
      </items>
    </pivotField>
    <pivotField showAll="0"/>
    <pivotField showAll="0"/>
    <pivotField showAll="0"/>
  </pivotFields>
  <rowFields count="1">
    <field x="0"/>
  </rowFields>
  <rowItems count="11">
    <i>
      <x v="486"/>
    </i>
    <i>
      <x v="437"/>
    </i>
    <i>
      <x v="368"/>
    </i>
    <i>
      <x v="112"/>
    </i>
    <i>
      <x v="392"/>
    </i>
    <i>
      <x v="92"/>
    </i>
    <i>
      <x v="299"/>
    </i>
    <i>
      <x v="385"/>
    </i>
    <i>
      <x v="24"/>
    </i>
    <i>
      <x v="147"/>
    </i>
    <i t="grand">
      <x/>
    </i>
  </rowItems>
  <colFields count="1">
    <field x="-2"/>
  </colFields>
  <colItems count="2">
    <i>
      <x/>
    </i>
    <i i="1">
      <x v="1"/>
    </i>
  </colItems>
  <dataFields count="2">
    <dataField name="Runs" fld="1" baseField="0" baseItem="0" numFmtId="2"/>
    <dataField name="Dismissed" fld="2" baseField="0" baseItem="0" numFmtId="2"/>
  </dataFields>
  <formats count="1">
    <format dxfId="19">
      <pivotArea type="all" dataOnly="0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 rowHeaderCaption="Batsman">
  <location ref="K3:L14" firstHeaderRow="1" firstDataRow="1" firstDataCol="1"/>
  <pivotFields count="6">
    <pivotField axis="axisRow" showAll="0" measureFilter="1" sortType="descending">
      <items count="518">
        <item x="146"/>
        <item x="454"/>
        <item x="280"/>
        <item x="339"/>
        <item x="455"/>
        <item x="272"/>
        <item x="189"/>
        <item x="386"/>
        <item x="316"/>
        <item x="126"/>
        <item x="320"/>
        <item x="367"/>
        <item x="297"/>
        <item x="482"/>
        <item x="72"/>
        <item x="465"/>
        <item x="452"/>
        <item x="444"/>
        <item x="263"/>
        <item x="401"/>
        <item x="157"/>
        <item x="417"/>
        <item x="173"/>
        <item x="294"/>
        <item x="8"/>
        <item x="337"/>
        <item x="209"/>
        <item x="509"/>
        <item x="213"/>
        <item x="28"/>
        <item x="358"/>
        <item x="172"/>
        <item x="251"/>
        <item x="87"/>
        <item x="240"/>
        <item x="49"/>
        <item x="429"/>
        <item x="412"/>
        <item x="290"/>
        <item x="39"/>
        <item x="235"/>
        <item x="119"/>
        <item x="90"/>
        <item x="10"/>
        <item x="314"/>
        <item x="431"/>
        <item x="271"/>
        <item x="185"/>
        <item x="432"/>
        <item x="307"/>
        <item x="319"/>
        <item x="245"/>
        <item x="130"/>
        <item x="400"/>
        <item x="80"/>
        <item x="377"/>
        <item x="162"/>
        <item x="69"/>
        <item x="13"/>
        <item x="302"/>
        <item x="460"/>
        <item x="122"/>
        <item x="254"/>
        <item x="147"/>
        <item x="168"/>
        <item x="450"/>
        <item x="207"/>
        <item x="443"/>
        <item x="317"/>
        <item x="440"/>
        <item x="92"/>
        <item x="324"/>
        <item x="470"/>
        <item x="15"/>
        <item x="206"/>
        <item x="406"/>
        <item x="153"/>
        <item x="492"/>
        <item x="166"/>
        <item x="373"/>
        <item x="51"/>
        <item x="163"/>
        <item x="345"/>
        <item x="300"/>
        <item x="137"/>
        <item x="167"/>
        <item x="382"/>
        <item x="174"/>
        <item x="501"/>
        <item x="353"/>
        <item x="56"/>
        <item x="121"/>
        <item x="5"/>
        <item x="103"/>
        <item x="99"/>
        <item x="232"/>
        <item x="463"/>
        <item x="420"/>
        <item x="379"/>
        <item x="425"/>
        <item x="73"/>
        <item x="178"/>
        <item x="171"/>
        <item x="269"/>
        <item x="456"/>
        <item x="416"/>
        <item x="467"/>
        <item x="323"/>
        <item x="394"/>
        <item x="217"/>
        <item x="201"/>
        <item x="35"/>
        <item x="3"/>
        <item x="398"/>
        <item x="136"/>
        <item x="124"/>
        <item x="354"/>
        <item x="176"/>
        <item x="45"/>
        <item x="222"/>
        <item x="102"/>
        <item x="54"/>
        <item x="237"/>
        <item x="495"/>
        <item x="303"/>
        <item x="142"/>
        <item x="261"/>
        <item x="212"/>
        <item x="436"/>
        <item x="409"/>
        <item x="451"/>
        <item x="494"/>
        <item x="36"/>
        <item x="364"/>
        <item x="24"/>
        <item x="228"/>
        <item x="375"/>
        <item x="110"/>
        <item x="392"/>
        <item x="181"/>
        <item x="112"/>
        <item x="78"/>
        <item x="343"/>
        <item x="388"/>
        <item x="34"/>
        <item x="453"/>
        <item x="169"/>
        <item x="9"/>
        <item x="351"/>
        <item x="86"/>
        <item x="457"/>
        <item x="145"/>
        <item x="91"/>
        <item x="50"/>
        <item x="383"/>
        <item x="111"/>
        <item x="359"/>
        <item x="484"/>
        <item x="490"/>
        <item x="264"/>
        <item x="459"/>
        <item x="469"/>
        <item x="79"/>
        <item x="372"/>
        <item x="362"/>
        <item x="76"/>
        <item x="64"/>
        <item x="97"/>
        <item x="223"/>
        <item x="433"/>
        <item x="277"/>
        <item x="435"/>
        <item x="507"/>
        <item x="60"/>
        <item x="360"/>
        <item x="243"/>
        <item x="255"/>
        <item x="88"/>
        <item x="246"/>
        <item x="347"/>
        <item x="109"/>
        <item x="117"/>
        <item x="512"/>
        <item x="421"/>
        <item x="278"/>
        <item x="331"/>
        <item x="411"/>
        <item x="439"/>
        <item x="71"/>
        <item x="419"/>
        <item x="52"/>
        <item x="94"/>
        <item x="275"/>
        <item x="224"/>
        <item x="296"/>
        <item x="468"/>
        <item x="132"/>
        <item x="23"/>
        <item x="309"/>
        <item x="170"/>
        <item x="371"/>
        <item x="335"/>
        <item x="306"/>
        <item x="313"/>
        <item x="30"/>
        <item x="101"/>
        <item x="115"/>
        <item x="500"/>
        <item x="156"/>
        <item x="192"/>
        <item x="357"/>
        <item x="262"/>
        <item x="403"/>
        <item x="18"/>
        <item x="414"/>
        <item x="200"/>
        <item x="472"/>
        <item x="402"/>
        <item x="285"/>
        <item x="341"/>
        <item x="42"/>
        <item x="11"/>
        <item x="75"/>
        <item x="393"/>
        <item x="218"/>
        <item x="47"/>
        <item x="31"/>
        <item x="63"/>
        <item x="449"/>
        <item x="474"/>
        <item x="68"/>
        <item x="55"/>
        <item x="292"/>
        <item x="134"/>
        <item x="312"/>
        <item x="508"/>
        <item x="311"/>
        <item x="260"/>
        <item x="491"/>
        <item x="321"/>
        <item x="248"/>
        <item x="139"/>
        <item x="489"/>
        <item x="225"/>
        <item x="65"/>
        <item x="298"/>
        <item x="118"/>
        <item x="66"/>
        <item x="138"/>
        <item x="458"/>
        <item x="499"/>
        <item x="151"/>
        <item x="221"/>
        <item x="258"/>
        <item x="334"/>
        <item x="104"/>
        <item x="330"/>
        <item x="204"/>
        <item x="356"/>
        <item x="405"/>
        <item x="276"/>
        <item x="322"/>
        <item x="399"/>
        <item x="21"/>
        <item x="67"/>
        <item x="496"/>
        <item x="58"/>
        <item x="342"/>
        <item x="233"/>
        <item x="44"/>
        <item x="478"/>
        <item x="74"/>
        <item x="205"/>
        <item x="154"/>
        <item x="389"/>
        <item x="32"/>
        <item x="175"/>
        <item x="179"/>
        <item x="215"/>
        <item x="231"/>
        <item x="149"/>
        <item x="148"/>
        <item x="242"/>
        <item x="17"/>
        <item x="40"/>
        <item x="61"/>
        <item x="304"/>
        <item x="208"/>
        <item x="184"/>
        <item x="180"/>
        <item x="477"/>
        <item x="471"/>
        <item x="268"/>
        <item x="193"/>
        <item x="279"/>
        <item x="326"/>
        <item x="108"/>
        <item x="155"/>
        <item x="81"/>
        <item x="6"/>
        <item x="229"/>
        <item x="350"/>
        <item x="488"/>
        <item x="120"/>
        <item x="430"/>
        <item x="177"/>
        <item x="62"/>
        <item x="194"/>
        <item x="511"/>
        <item x="211"/>
        <item x="361"/>
        <item x="497"/>
        <item x="336"/>
        <item x="113"/>
        <item x="283"/>
        <item x="348"/>
        <item x="43"/>
        <item x="106"/>
        <item x="448"/>
        <item x="423"/>
        <item x="202"/>
        <item x="498"/>
        <item x="129"/>
        <item x="127"/>
        <item x="493"/>
        <item x="369"/>
        <item x="504"/>
        <item x="366"/>
        <item x="95"/>
        <item x="16"/>
        <item x="182"/>
        <item x="428"/>
        <item x="376"/>
        <item x="107"/>
        <item x="159"/>
        <item x="252"/>
        <item x="344"/>
        <item x="486"/>
        <item x="96"/>
        <item x="378"/>
        <item x="236"/>
        <item x="442"/>
        <item x="374"/>
        <item x="46"/>
        <item x="123"/>
        <item x="128"/>
        <item x="434"/>
        <item x="365"/>
        <item x="188"/>
        <item x="27"/>
        <item x="187"/>
        <item x="466"/>
        <item x="183"/>
        <item x="286"/>
        <item x="445"/>
        <item x="150"/>
        <item x="267"/>
        <item x="363"/>
        <item x="266"/>
        <item x="220"/>
        <item x="135"/>
        <item x="33"/>
        <item x="84"/>
        <item x="226"/>
        <item x="385"/>
        <item x="247"/>
        <item x="186"/>
        <item x="481"/>
        <item x="2"/>
        <item x="214"/>
        <item x="325"/>
        <item x="227"/>
        <item x="133"/>
        <item x="282"/>
        <item x="506"/>
        <item x="38"/>
        <item x="265"/>
        <item x="355"/>
        <item x="281"/>
        <item x="259"/>
        <item x="100"/>
        <item x="475"/>
        <item x="461"/>
        <item x="239"/>
        <item x="287"/>
        <item x="7"/>
        <item x="196"/>
        <item x="273"/>
        <item x="390"/>
        <item x="48"/>
        <item x="340"/>
        <item x="234"/>
        <item x="4"/>
        <item x="299"/>
        <item x="105"/>
        <item x="199"/>
        <item x="241"/>
        <item x="404"/>
        <item x="515"/>
        <item x="513"/>
        <item x="505"/>
        <item x="391"/>
        <item x="327"/>
        <item x="308"/>
        <item x="238"/>
        <item x="479"/>
        <item x="253"/>
        <item x="441"/>
        <item x="380"/>
        <item x="125"/>
        <item x="318"/>
        <item x="328"/>
        <item x="464"/>
        <item x="191"/>
        <item x="381"/>
        <item x="114"/>
        <item x="93"/>
        <item x="195"/>
        <item x="164"/>
        <item x="338"/>
        <item x="288"/>
        <item x="333"/>
        <item x="438"/>
        <item x="197"/>
        <item x="476"/>
        <item x="53"/>
        <item x="230"/>
        <item x="387"/>
        <item x="485"/>
        <item x="22"/>
        <item x="250"/>
        <item x="85"/>
        <item x="446"/>
        <item x="487"/>
        <item x="480"/>
        <item x="284"/>
        <item x="447"/>
        <item x="1"/>
        <item x="295"/>
        <item x="160"/>
        <item x="244"/>
        <item x="418"/>
        <item x="152"/>
        <item x="190"/>
        <item x="415"/>
        <item x="116"/>
        <item x="315"/>
        <item x="310"/>
        <item x="161"/>
        <item x="141"/>
        <item x="305"/>
        <item x="82"/>
        <item x="29"/>
        <item x="25"/>
        <item x="12"/>
        <item x="41"/>
        <item x="437"/>
        <item x="57"/>
        <item x="83"/>
        <item x="77"/>
        <item x="510"/>
        <item x="293"/>
        <item x="26"/>
        <item x="131"/>
        <item x="349"/>
        <item x="395"/>
        <item x="346"/>
        <item x="407"/>
        <item x="408"/>
        <item x="329"/>
        <item x="396"/>
        <item x="397"/>
        <item x="413"/>
        <item x="219"/>
        <item x="89"/>
        <item x="59"/>
        <item x="158"/>
        <item x="424"/>
        <item x="256"/>
        <item x="422"/>
        <item x="503"/>
        <item x="426"/>
        <item x="140"/>
        <item x="301"/>
        <item x="203"/>
        <item x="210"/>
        <item x="0"/>
        <item x="514"/>
        <item x="20"/>
        <item x="98"/>
        <item x="332"/>
        <item x="370"/>
        <item x="289"/>
        <item x="462"/>
        <item x="427"/>
        <item x="483"/>
        <item x="144"/>
        <item x="384"/>
        <item x="198"/>
        <item x="274"/>
        <item x="257"/>
        <item x="270"/>
        <item x="37"/>
        <item x="249"/>
        <item x="410"/>
        <item x="368"/>
        <item x="143"/>
        <item x="70"/>
        <item x="502"/>
        <item x="291"/>
        <item x="14"/>
        <item x="473"/>
        <item x="352"/>
        <item x="19"/>
        <item x="165"/>
        <item x="216"/>
        <item x="5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325">
        <item x="323"/>
        <item x="322"/>
        <item x="320"/>
        <item x="318"/>
        <item x="321"/>
        <item x="304"/>
        <item x="317"/>
        <item x="319"/>
        <item x="286"/>
        <item x="314"/>
        <item x="316"/>
        <item x="307"/>
        <item x="312"/>
        <item x="290"/>
        <item x="315"/>
        <item x="296"/>
        <item x="292"/>
        <item x="262"/>
        <item x="313"/>
        <item x="311"/>
        <item x="310"/>
        <item x="308"/>
        <item x="297"/>
        <item x="274"/>
        <item x="279"/>
        <item x="272"/>
        <item x="305"/>
        <item x="294"/>
        <item x="303"/>
        <item x="253"/>
        <item x="301"/>
        <item x="309"/>
        <item x="299"/>
        <item x="283"/>
        <item x="255"/>
        <item x="265"/>
        <item x="234"/>
        <item x="263"/>
        <item x="306"/>
        <item x="177"/>
        <item x="276"/>
        <item x="293"/>
        <item x="209"/>
        <item x="259"/>
        <item x="240"/>
        <item x="165"/>
        <item x="266"/>
        <item x="291"/>
        <item x="302"/>
        <item x="289"/>
        <item x="219"/>
        <item x="202"/>
        <item x="261"/>
        <item x="231"/>
        <item x="277"/>
        <item x="300"/>
        <item x="208"/>
        <item x="267"/>
        <item x="129"/>
        <item x="239"/>
        <item x="204"/>
        <item x="264"/>
        <item x="287"/>
        <item x="158"/>
        <item x="295"/>
        <item x="198"/>
        <item x="260"/>
        <item x="285"/>
        <item x="270"/>
        <item x="243"/>
        <item x="222"/>
        <item x="258"/>
        <item x="221"/>
        <item x="269"/>
        <item x="282"/>
        <item x="230"/>
        <item x="123"/>
        <item x="199"/>
        <item x="228"/>
        <item x="238"/>
        <item x="249"/>
        <item x="96"/>
        <item x="268"/>
        <item x="128"/>
        <item x="190"/>
        <item x="135"/>
        <item x="175"/>
        <item x="188"/>
        <item x="278"/>
        <item x="201"/>
        <item x="245"/>
        <item x="254"/>
        <item x="126"/>
        <item x="241"/>
        <item x="211"/>
        <item x="168"/>
        <item x="227"/>
        <item x="217"/>
        <item x="275"/>
        <item x="216"/>
        <item x="251"/>
        <item x="180"/>
        <item x="250"/>
        <item x="236"/>
        <item x="118"/>
        <item x="273"/>
        <item x="127"/>
        <item x="130"/>
        <item x="223"/>
        <item x="182"/>
        <item x="288"/>
        <item x="220"/>
        <item x="79"/>
        <item x="140"/>
        <item x="134"/>
        <item x="244"/>
        <item x="191"/>
        <item x="242"/>
        <item x="155"/>
        <item x="145"/>
        <item x="256"/>
        <item x="153"/>
        <item x="102"/>
        <item x="181"/>
        <item x="195"/>
        <item x="214"/>
        <item x="150"/>
        <item x="225"/>
        <item x="141"/>
        <item x="178"/>
        <item x="213"/>
        <item x="210"/>
        <item x="154"/>
        <item x="149"/>
        <item x="192"/>
        <item x="111"/>
        <item x="207"/>
        <item x="90"/>
        <item x="206"/>
        <item x="146"/>
        <item x="144"/>
        <item x="160"/>
        <item x="113"/>
        <item x="172"/>
        <item x="131"/>
        <item x="189"/>
        <item x="200"/>
        <item x="232"/>
        <item x="187"/>
        <item x="229"/>
        <item x="119"/>
        <item x="246"/>
        <item x="186"/>
        <item x="164"/>
        <item x="194"/>
        <item x="117"/>
        <item x="80"/>
        <item x="110"/>
        <item x="193"/>
        <item x="124"/>
        <item x="174"/>
        <item x="101"/>
        <item x="173"/>
        <item x="58"/>
        <item x="143"/>
        <item x="212"/>
        <item x="133"/>
        <item x="224"/>
        <item x="82"/>
        <item x="142"/>
        <item x="171"/>
        <item x="183"/>
        <item x="77"/>
        <item x="137"/>
        <item x="166"/>
        <item x="122"/>
        <item x="125"/>
        <item x="94"/>
        <item x="93"/>
        <item x="271"/>
        <item x="43"/>
        <item x="92"/>
        <item x="104"/>
        <item x="81"/>
        <item x="44"/>
        <item x="121"/>
        <item x="152"/>
        <item x="235"/>
        <item x="159"/>
        <item x="184"/>
        <item x="85"/>
        <item x="60"/>
        <item x="114"/>
        <item x="252"/>
        <item x="170"/>
        <item x="78"/>
        <item x="89"/>
        <item x="16"/>
        <item x="148"/>
        <item x="50"/>
        <item x="88"/>
        <item x="91"/>
        <item x="116"/>
        <item x="107"/>
        <item x="33"/>
        <item x="87"/>
        <item x="70"/>
        <item x="63"/>
        <item x="248"/>
        <item x="45"/>
        <item x="226"/>
        <item x="37"/>
        <item x="162"/>
        <item x="47"/>
        <item x="151"/>
        <item x="67"/>
        <item x="205"/>
        <item x="247"/>
        <item x="71"/>
        <item x="42"/>
        <item x="99"/>
        <item x="115"/>
        <item x="203"/>
        <item x="86"/>
        <item x="66"/>
        <item x="53"/>
        <item x="185"/>
        <item x="95"/>
        <item x="19"/>
        <item x="136"/>
        <item x="197"/>
        <item x="103"/>
        <item x="120"/>
        <item x="39"/>
        <item x="83"/>
        <item x="218"/>
        <item x="11"/>
        <item x="237"/>
        <item x="18"/>
        <item x="28"/>
        <item x="15"/>
        <item x="23"/>
        <item x="112"/>
        <item x="62"/>
        <item x="139"/>
        <item x="54"/>
        <item x="161"/>
        <item x="74"/>
        <item x="76"/>
        <item x="73"/>
        <item x="147"/>
        <item x="20"/>
        <item x="21"/>
        <item x="100"/>
        <item x="75"/>
        <item x="26"/>
        <item x="59"/>
        <item x="84"/>
        <item x="27"/>
        <item x="36"/>
        <item x="40"/>
        <item x="7"/>
        <item x="69"/>
        <item x="64"/>
        <item x="13"/>
        <item x="14"/>
        <item x="24"/>
        <item x="132"/>
        <item x="41"/>
        <item x="48"/>
        <item x="17"/>
        <item x="169"/>
        <item x="138"/>
        <item x="57"/>
        <item x="51"/>
        <item x="2"/>
        <item x="257"/>
        <item x="163"/>
        <item x="12"/>
        <item x="9"/>
        <item x="108"/>
        <item x="196"/>
        <item x="46"/>
        <item x="10"/>
        <item x="25"/>
        <item x="284"/>
        <item x="98"/>
        <item x="34"/>
        <item x="4"/>
        <item x="1"/>
        <item x="156"/>
        <item x="35"/>
        <item x="49"/>
        <item x="29"/>
        <item x="56"/>
        <item x="281"/>
        <item x="0"/>
        <item x="68"/>
        <item x="280"/>
        <item x="38"/>
        <item x="105"/>
        <item x="167"/>
        <item x="215"/>
        <item x="72"/>
        <item x="6"/>
        <item x="52"/>
        <item x="32"/>
        <item x="22"/>
        <item x="55"/>
        <item x="106"/>
        <item x="65"/>
        <item x="179"/>
        <item x="31"/>
        <item x="61"/>
        <item x="5"/>
        <item x="3"/>
        <item x="30"/>
        <item x="8"/>
        <item x="97"/>
        <item x="157"/>
        <item x="176"/>
        <item x="109"/>
        <item x="233"/>
        <item x="298"/>
        <item t="default"/>
      </items>
    </pivotField>
    <pivotField showAll="0"/>
  </pivotFields>
  <rowFields count="1">
    <field x="0"/>
  </rowFields>
  <rowItems count="11">
    <i>
      <x v="368"/>
    </i>
    <i>
      <x v="437"/>
    </i>
    <i>
      <x v="385"/>
    </i>
    <i>
      <x v="486"/>
    </i>
    <i>
      <x v="221"/>
    </i>
    <i>
      <x v="392"/>
    </i>
    <i>
      <x v="147"/>
    </i>
    <i>
      <x v="329"/>
    </i>
    <i>
      <x v="299"/>
    </i>
    <i>
      <x v="43"/>
    </i>
    <i t="grand">
      <x/>
    </i>
  </rowItems>
  <colItems count="1">
    <i/>
  </colItems>
  <dataFields count="1">
    <dataField name="Sum of out" fld="2" baseField="0" baseItem="0"/>
  </dataFields>
  <formats count="4">
    <format dxfId="23">
      <pivotArea collapsedLevelsAreSubtotals="1" fieldPosition="0">
        <references count="1">
          <reference field="0" count="1">
            <x v="175"/>
          </reference>
        </references>
      </pivotArea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10" filterVal="10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Summary" updatedVersion="3" minRefreshableVersion="3" showCalcMbrs="0" useAutoFormatting="1" itemPrintTitles="1" createdVersion="3" indent="0" outline="1" outlineData="1" multipleFieldFilters="0">
  <location ref="A3:E5" firstHeaderRow="1" firstDataRow="2" firstDataCol="0"/>
  <pivotFields count="6">
    <pivotField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Number of balls" fld="3" baseField="0" baseItem="0"/>
    <dataField name="Average " fld="4" subtotal="average" baseField="0" baseItem="0" numFmtId="2"/>
    <dataField name="Strikerate Average" fld="5" subtotal="average" baseField="0" baseItem="0" numFmtId="2"/>
    <dataField name="Dismissed" fld="2" baseField="0" baseItem="0"/>
    <dataField name="RUNS" fld="1" baseField="0" baseItem="0"/>
  </dataFields>
  <formats count="5">
    <format dxfId="4">
      <pivotArea type="all" dataOnly="0" outline="0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type="all" dataOnly="0" outline="0" fieldPosition="0"/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7"/>
  <sheetViews>
    <sheetView workbookViewId="0">
      <selection activeCell="A4" sqref="A4"/>
    </sheetView>
  </sheetViews>
  <sheetFormatPr defaultRowHeight="15"/>
  <cols>
    <col min="1" max="1" width="12.28515625" customWidth="1"/>
    <col min="2" max="2" width="19.42578125" customWidth="1"/>
    <col min="3" max="3" width="14.28515625" customWidth="1"/>
    <col min="4" max="4" width="18.28515625" customWidth="1"/>
    <col min="5" max="5" width="11.28515625" customWidth="1"/>
    <col min="6" max="6" width="14.85546875" customWidth="1"/>
  </cols>
  <sheetData>
    <row r="1" spans="1:6">
      <c r="A1" s="16" t="s">
        <v>519</v>
      </c>
      <c r="B1" s="16" t="s">
        <v>520</v>
      </c>
      <c r="C1" s="16" t="s">
        <v>0</v>
      </c>
      <c r="D1" s="16" t="s">
        <v>518</v>
      </c>
      <c r="E1" s="16" t="s">
        <v>517</v>
      </c>
      <c r="F1" s="16" t="s">
        <v>521</v>
      </c>
    </row>
    <row r="2" spans="1:6">
      <c r="A2" t="s">
        <v>1</v>
      </c>
      <c r="B2">
        <v>5426</v>
      </c>
      <c r="C2">
        <v>152</v>
      </c>
      <c r="D2">
        <v>4111</v>
      </c>
      <c r="E2">
        <v>35.697368421052602</v>
      </c>
      <c r="F2">
        <v>131.98735100948599</v>
      </c>
    </row>
    <row r="3" spans="1:6">
      <c r="A3" t="s">
        <v>2</v>
      </c>
      <c r="B3">
        <v>5386</v>
      </c>
      <c r="C3">
        <v>160</v>
      </c>
      <c r="D3">
        <v>3916</v>
      </c>
      <c r="E3">
        <v>33.662500000000001</v>
      </c>
      <c r="F3">
        <v>137.538304392236</v>
      </c>
    </row>
    <row r="4" spans="1:6">
      <c r="A4" t="s">
        <v>3</v>
      </c>
      <c r="B4">
        <v>4902</v>
      </c>
      <c r="C4">
        <v>161</v>
      </c>
      <c r="D4">
        <v>3742</v>
      </c>
      <c r="E4">
        <v>30.447204968944099</v>
      </c>
      <c r="F4">
        <v>130.99946552645599</v>
      </c>
    </row>
    <row r="5" spans="1:6">
      <c r="A5" t="s">
        <v>4</v>
      </c>
      <c r="B5">
        <v>4717</v>
      </c>
      <c r="C5">
        <v>114</v>
      </c>
      <c r="D5">
        <v>3292</v>
      </c>
      <c r="E5">
        <v>41.377192982456101</v>
      </c>
      <c r="F5">
        <v>143.28675577156699</v>
      </c>
    </row>
    <row r="6" spans="1:6">
      <c r="A6" t="s">
        <v>5</v>
      </c>
      <c r="B6">
        <v>4601</v>
      </c>
      <c r="C6">
        <v>137</v>
      </c>
      <c r="D6">
        <v>3665</v>
      </c>
      <c r="E6">
        <v>33.583941605839399</v>
      </c>
      <c r="F6">
        <v>125.538881309686</v>
      </c>
    </row>
    <row r="7" spans="1:6">
      <c r="A7" t="s">
        <v>6</v>
      </c>
      <c r="B7">
        <v>4525</v>
      </c>
      <c r="C7">
        <v>110</v>
      </c>
      <c r="D7">
        <v>2972</v>
      </c>
      <c r="E7">
        <v>41.136363636363598</v>
      </c>
      <c r="F7">
        <v>152.25437415881501</v>
      </c>
    </row>
    <row r="8" spans="1:6">
      <c r="A8" t="s">
        <v>7</v>
      </c>
      <c r="B8">
        <v>4450</v>
      </c>
      <c r="C8">
        <v>118</v>
      </c>
      <c r="D8">
        <v>3206</v>
      </c>
      <c r="E8">
        <v>37.711864406779597</v>
      </c>
      <c r="F8">
        <v>138.80224578914499</v>
      </c>
    </row>
    <row r="9" spans="1:6">
      <c r="A9" t="s">
        <v>8</v>
      </c>
      <c r="B9">
        <v>4420</v>
      </c>
      <c r="C9">
        <v>156</v>
      </c>
      <c r="D9">
        <v>3381</v>
      </c>
      <c r="E9">
        <v>28.3333333333333</v>
      </c>
      <c r="F9">
        <v>130.73055309080101</v>
      </c>
    </row>
    <row r="10" spans="1:6">
      <c r="A10" t="s">
        <v>9</v>
      </c>
      <c r="B10">
        <v>4414</v>
      </c>
      <c r="C10">
        <v>104</v>
      </c>
      <c r="D10">
        <v>2902</v>
      </c>
      <c r="E10">
        <v>42.442307692307601</v>
      </c>
      <c r="F10">
        <v>152.10199862164001</v>
      </c>
    </row>
    <row r="11" spans="1:6">
      <c r="A11" t="s">
        <v>10</v>
      </c>
      <c r="B11">
        <v>4219</v>
      </c>
      <c r="C11">
        <v>134</v>
      </c>
      <c r="D11">
        <v>3400</v>
      </c>
      <c r="E11">
        <v>31.4850746268656</v>
      </c>
      <c r="F11">
        <v>124.088235294117</v>
      </c>
    </row>
    <row r="12" spans="1:6">
      <c r="A12" t="s">
        <v>11</v>
      </c>
      <c r="B12">
        <v>3834</v>
      </c>
      <c r="C12">
        <v>117</v>
      </c>
      <c r="D12">
        <v>3133</v>
      </c>
      <c r="E12">
        <v>32.769230769230703</v>
      </c>
      <c r="F12">
        <v>122.374720714969</v>
      </c>
    </row>
    <row r="13" spans="1:6">
      <c r="A13" t="s">
        <v>12</v>
      </c>
      <c r="B13">
        <v>3669</v>
      </c>
      <c r="C13">
        <v>138</v>
      </c>
      <c r="D13">
        <v>2813</v>
      </c>
      <c r="E13">
        <v>26.586956521739101</v>
      </c>
      <c r="F13">
        <v>130.43014575186601</v>
      </c>
    </row>
    <row r="14" spans="1:6">
      <c r="A14" t="s">
        <v>13</v>
      </c>
      <c r="B14">
        <v>3590</v>
      </c>
      <c r="C14">
        <v>115</v>
      </c>
      <c r="D14">
        <v>2566</v>
      </c>
      <c r="E14">
        <v>31.2173913043478</v>
      </c>
      <c r="F14">
        <v>139.90646921278201</v>
      </c>
    </row>
    <row r="15" spans="1:6">
      <c r="A15" t="s">
        <v>14</v>
      </c>
      <c r="B15">
        <v>3313</v>
      </c>
      <c r="C15">
        <v>114</v>
      </c>
      <c r="D15">
        <v>2616</v>
      </c>
      <c r="E15">
        <v>29.0614035087719</v>
      </c>
      <c r="F15">
        <v>126.64373088684999</v>
      </c>
    </row>
    <row r="16" spans="1:6">
      <c r="A16" t="s">
        <v>15</v>
      </c>
      <c r="B16">
        <v>3222</v>
      </c>
      <c r="C16">
        <v>110</v>
      </c>
      <c r="D16">
        <v>2240</v>
      </c>
      <c r="E16">
        <v>29.290909090909</v>
      </c>
      <c r="F16">
        <v>143.83928571428501</v>
      </c>
    </row>
    <row r="17" spans="1:6">
      <c r="A17" t="s">
        <v>16</v>
      </c>
      <c r="B17">
        <v>2886</v>
      </c>
      <c r="C17">
        <v>106</v>
      </c>
      <c r="D17">
        <v>2185</v>
      </c>
      <c r="E17">
        <v>27.2264150943396</v>
      </c>
      <c r="F17">
        <v>132.08237986270001</v>
      </c>
    </row>
    <row r="18" spans="1:6">
      <c r="A18" t="s">
        <v>17</v>
      </c>
      <c r="B18">
        <v>2864</v>
      </c>
      <c r="C18">
        <v>127</v>
      </c>
      <c r="D18">
        <v>2352</v>
      </c>
      <c r="E18">
        <v>22.5511811023622</v>
      </c>
      <c r="F18">
        <v>121.76870748299299</v>
      </c>
    </row>
    <row r="19" spans="1:6">
      <c r="A19" t="s">
        <v>18</v>
      </c>
      <c r="B19">
        <v>2855</v>
      </c>
      <c r="C19">
        <v>95</v>
      </c>
      <c r="D19">
        <v>2352</v>
      </c>
      <c r="E19">
        <v>30.052631578947299</v>
      </c>
      <c r="F19">
        <v>121.38605442176799</v>
      </c>
    </row>
    <row r="20" spans="1:6">
      <c r="A20" t="s">
        <v>19</v>
      </c>
      <c r="B20">
        <v>2772</v>
      </c>
      <c r="C20">
        <v>102</v>
      </c>
      <c r="D20">
        <v>1879</v>
      </c>
      <c r="E20">
        <v>27.176470588235201</v>
      </c>
      <c r="F20">
        <v>147.52527940393799</v>
      </c>
    </row>
    <row r="21" spans="1:6">
      <c r="A21" t="s">
        <v>20</v>
      </c>
      <c r="B21">
        <v>2755</v>
      </c>
      <c r="C21">
        <v>109</v>
      </c>
      <c r="D21">
        <v>2121</v>
      </c>
      <c r="E21">
        <v>25.2752293577981</v>
      </c>
      <c r="F21">
        <v>129.89156058462899</v>
      </c>
    </row>
    <row r="22" spans="1:6">
      <c r="A22" t="s">
        <v>21</v>
      </c>
      <c r="B22">
        <v>2728</v>
      </c>
      <c r="C22">
        <v>98</v>
      </c>
      <c r="D22">
        <v>1746</v>
      </c>
      <c r="E22">
        <v>27.836734693877499</v>
      </c>
      <c r="F22">
        <v>156.24284077892301</v>
      </c>
    </row>
    <row r="23" spans="1:6">
      <c r="A23" t="s">
        <v>22</v>
      </c>
      <c r="B23">
        <v>2589</v>
      </c>
      <c r="C23">
        <v>93</v>
      </c>
      <c r="D23">
        <v>2104</v>
      </c>
      <c r="E23">
        <v>27.838709677419299</v>
      </c>
      <c r="F23">
        <v>123.051330798479</v>
      </c>
    </row>
    <row r="24" spans="1:6">
      <c r="A24" t="s">
        <v>23</v>
      </c>
      <c r="B24">
        <v>2489</v>
      </c>
      <c r="C24">
        <v>65</v>
      </c>
      <c r="D24">
        <v>1866</v>
      </c>
      <c r="E24">
        <v>38.292307692307602</v>
      </c>
      <c r="F24">
        <v>133.386923901393</v>
      </c>
    </row>
    <row r="25" spans="1:6">
      <c r="A25" t="s">
        <v>24</v>
      </c>
      <c r="B25">
        <v>2427</v>
      </c>
      <c r="C25">
        <v>89</v>
      </c>
      <c r="D25">
        <v>2219</v>
      </c>
      <c r="E25">
        <v>27.269662921348299</v>
      </c>
      <c r="F25">
        <v>109.373591707976</v>
      </c>
    </row>
    <row r="26" spans="1:6">
      <c r="A26" t="s">
        <v>25</v>
      </c>
      <c r="B26">
        <v>2385</v>
      </c>
      <c r="C26">
        <v>81</v>
      </c>
      <c r="D26">
        <v>1758</v>
      </c>
      <c r="E26">
        <v>29.4444444444444</v>
      </c>
      <c r="F26">
        <v>135.665529010238</v>
      </c>
    </row>
    <row r="27" spans="1:6">
      <c r="A27" t="s">
        <v>26</v>
      </c>
      <c r="B27">
        <v>2334</v>
      </c>
      <c r="C27">
        <v>71</v>
      </c>
      <c r="D27">
        <v>1943</v>
      </c>
      <c r="E27">
        <v>32.873239436619698</v>
      </c>
      <c r="F27">
        <v>120.12352032938701</v>
      </c>
    </row>
    <row r="28" spans="1:6">
      <c r="A28" t="s">
        <v>27</v>
      </c>
      <c r="B28">
        <v>2215</v>
      </c>
      <c r="C28">
        <v>79</v>
      </c>
      <c r="D28">
        <v>1693</v>
      </c>
      <c r="E28">
        <v>28.037974683544299</v>
      </c>
      <c r="F28">
        <v>130.83284111045401</v>
      </c>
    </row>
    <row r="29" spans="1:6">
      <c r="A29" t="s">
        <v>28</v>
      </c>
      <c r="B29">
        <v>2174</v>
      </c>
      <c r="C29">
        <v>77</v>
      </c>
      <c r="D29">
        <v>1877</v>
      </c>
      <c r="E29">
        <v>28.2337662337662</v>
      </c>
      <c r="F29">
        <v>115.823122003196</v>
      </c>
    </row>
    <row r="30" spans="1:6">
      <c r="A30" t="s">
        <v>29</v>
      </c>
      <c r="B30">
        <v>2069</v>
      </c>
      <c r="C30">
        <v>76</v>
      </c>
      <c r="D30">
        <v>1492</v>
      </c>
      <c r="E30">
        <v>27.223684210526301</v>
      </c>
      <c r="F30">
        <v>138.67292225201001</v>
      </c>
    </row>
    <row r="31" spans="1:6">
      <c r="A31" t="s">
        <v>30</v>
      </c>
      <c r="B31">
        <v>2038</v>
      </c>
      <c r="C31">
        <v>59</v>
      </c>
      <c r="D31">
        <v>1570</v>
      </c>
      <c r="E31">
        <v>34.542372881355902</v>
      </c>
      <c r="F31">
        <v>129.80891719745199</v>
      </c>
    </row>
    <row r="32" spans="1:6">
      <c r="A32" t="s">
        <v>31</v>
      </c>
      <c r="B32">
        <v>2031</v>
      </c>
      <c r="C32">
        <v>49</v>
      </c>
      <c r="D32">
        <v>1633</v>
      </c>
      <c r="E32">
        <v>41.448979591836697</v>
      </c>
      <c r="F32">
        <v>124.372320881812</v>
      </c>
    </row>
    <row r="33" spans="1:6">
      <c r="A33" t="s">
        <v>32</v>
      </c>
      <c r="B33">
        <v>1988</v>
      </c>
      <c r="C33">
        <v>49</v>
      </c>
      <c r="D33">
        <v>1428</v>
      </c>
      <c r="E33">
        <v>40.571428571428498</v>
      </c>
      <c r="F33">
        <v>139.21568627450901</v>
      </c>
    </row>
    <row r="34" spans="1:6">
      <c r="A34" t="s">
        <v>33</v>
      </c>
      <c r="B34">
        <v>1977</v>
      </c>
      <c r="C34">
        <v>52</v>
      </c>
      <c r="D34">
        <v>1608</v>
      </c>
      <c r="E34">
        <v>38.019230769230703</v>
      </c>
      <c r="F34">
        <v>122.947761194029</v>
      </c>
    </row>
    <row r="35" spans="1:6">
      <c r="A35" t="s">
        <v>34</v>
      </c>
      <c r="B35">
        <v>1931</v>
      </c>
      <c r="C35">
        <v>83</v>
      </c>
      <c r="D35">
        <v>1567</v>
      </c>
      <c r="E35">
        <v>23.265060240963798</v>
      </c>
      <c r="F35">
        <v>123.229100191448</v>
      </c>
    </row>
    <row r="36" spans="1:6">
      <c r="A36" t="s">
        <v>35</v>
      </c>
      <c r="B36">
        <v>1861</v>
      </c>
      <c r="C36">
        <v>56</v>
      </c>
      <c r="D36">
        <v>1459</v>
      </c>
      <c r="E36">
        <v>33.232142857142797</v>
      </c>
      <c r="F36">
        <v>127.553118574366</v>
      </c>
    </row>
    <row r="37" spans="1:6">
      <c r="A37" t="s">
        <v>36</v>
      </c>
      <c r="B37">
        <v>1858</v>
      </c>
      <c r="C37">
        <v>54</v>
      </c>
      <c r="D37">
        <v>1327</v>
      </c>
      <c r="E37">
        <v>34.407407407407398</v>
      </c>
      <c r="F37">
        <v>140.015071590052</v>
      </c>
    </row>
    <row r="38" spans="1:6">
      <c r="A38" t="s">
        <v>37</v>
      </c>
      <c r="B38">
        <v>1808</v>
      </c>
      <c r="C38">
        <v>64</v>
      </c>
      <c r="D38">
        <v>1460</v>
      </c>
      <c r="E38">
        <v>28.25</v>
      </c>
      <c r="F38">
        <v>123.835616438356</v>
      </c>
    </row>
    <row r="39" spans="1:6">
      <c r="A39" t="s">
        <v>38</v>
      </c>
      <c r="B39">
        <v>1767</v>
      </c>
      <c r="C39">
        <v>74</v>
      </c>
      <c r="D39">
        <v>1340</v>
      </c>
      <c r="E39">
        <v>23.878378378378301</v>
      </c>
      <c r="F39">
        <v>131.86567164179101</v>
      </c>
    </row>
    <row r="40" spans="1:6">
      <c r="A40" t="s">
        <v>39</v>
      </c>
      <c r="B40">
        <v>1767</v>
      </c>
      <c r="C40">
        <v>49</v>
      </c>
      <c r="D40">
        <v>1071</v>
      </c>
      <c r="E40">
        <v>36.061224489795897</v>
      </c>
      <c r="F40">
        <v>164.98599439775899</v>
      </c>
    </row>
    <row r="41" spans="1:6">
      <c r="A41" t="s">
        <v>40</v>
      </c>
      <c r="B41">
        <v>1741</v>
      </c>
      <c r="C41">
        <v>66</v>
      </c>
      <c r="D41">
        <v>1332</v>
      </c>
      <c r="E41">
        <v>26.378787878787801</v>
      </c>
      <c r="F41">
        <v>130.70570570570499</v>
      </c>
    </row>
    <row r="42" spans="1:6">
      <c r="A42" t="s">
        <v>41</v>
      </c>
      <c r="B42">
        <v>1696</v>
      </c>
      <c r="C42">
        <v>60</v>
      </c>
      <c r="D42">
        <v>1446</v>
      </c>
      <c r="E42">
        <v>28.266666666666602</v>
      </c>
      <c r="F42">
        <v>117.28907330567</v>
      </c>
    </row>
    <row r="43" spans="1:6">
      <c r="A43" t="s">
        <v>42</v>
      </c>
      <c r="B43">
        <v>1695</v>
      </c>
      <c r="C43">
        <v>57</v>
      </c>
      <c r="D43">
        <v>1321</v>
      </c>
      <c r="E43">
        <v>29.736842105263101</v>
      </c>
      <c r="F43">
        <v>128.31188493565401</v>
      </c>
    </row>
    <row r="44" spans="1:6">
      <c r="A44" t="s">
        <v>43</v>
      </c>
      <c r="B44">
        <v>1687</v>
      </c>
      <c r="C44">
        <v>69</v>
      </c>
      <c r="D44">
        <v>1387</v>
      </c>
      <c r="E44">
        <v>24.449275362318801</v>
      </c>
      <c r="F44">
        <v>121.629416005767</v>
      </c>
    </row>
    <row r="45" spans="1:6">
      <c r="A45" t="s">
        <v>44</v>
      </c>
      <c r="B45">
        <v>1555</v>
      </c>
      <c r="C45">
        <v>74</v>
      </c>
      <c r="D45">
        <v>1308</v>
      </c>
      <c r="E45">
        <v>21.013513513513502</v>
      </c>
      <c r="F45">
        <v>118.883792048929</v>
      </c>
    </row>
    <row r="46" spans="1:6">
      <c r="A46" t="s">
        <v>45</v>
      </c>
      <c r="B46">
        <v>1535</v>
      </c>
      <c r="C46">
        <v>71</v>
      </c>
      <c r="D46">
        <v>1227</v>
      </c>
      <c r="E46">
        <v>21.619718309859099</v>
      </c>
      <c r="F46">
        <v>125.101874490627</v>
      </c>
    </row>
    <row r="47" spans="1:6">
      <c r="A47" t="s">
        <v>46</v>
      </c>
      <c r="B47">
        <v>1494</v>
      </c>
      <c r="C47">
        <v>63</v>
      </c>
      <c r="D47">
        <v>1155</v>
      </c>
      <c r="E47">
        <v>23.714285714285701</v>
      </c>
      <c r="F47">
        <v>129.35064935064901</v>
      </c>
    </row>
    <row r="48" spans="1:6">
      <c r="A48" t="s">
        <v>47</v>
      </c>
      <c r="B48">
        <v>1478</v>
      </c>
      <c r="C48">
        <v>46</v>
      </c>
      <c r="D48">
        <v>1109</v>
      </c>
      <c r="E48">
        <v>32.130434782608603</v>
      </c>
      <c r="F48">
        <v>133.273219116321</v>
      </c>
    </row>
    <row r="49" spans="1:6">
      <c r="A49" t="s">
        <v>48</v>
      </c>
      <c r="B49">
        <v>1465</v>
      </c>
      <c r="C49">
        <v>61</v>
      </c>
      <c r="D49">
        <v>1137</v>
      </c>
      <c r="E49">
        <v>24.016393442622899</v>
      </c>
      <c r="F49">
        <v>128.84784520668401</v>
      </c>
    </row>
    <row r="50" spans="1:6">
      <c r="A50" t="s">
        <v>49</v>
      </c>
      <c r="B50">
        <v>1441</v>
      </c>
      <c r="C50">
        <v>48</v>
      </c>
      <c r="D50">
        <v>1210</v>
      </c>
      <c r="E50">
        <v>30.0208333333333</v>
      </c>
      <c r="F50">
        <v>119.09090909090899</v>
      </c>
    </row>
    <row r="51" spans="1:6">
      <c r="A51" t="s">
        <v>50</v>
      </c>
      <c r="B51">
        <v>1415</v>
      </c>
      <c r="C51">
        <v>41</v>
      </c>
      <c r="D51">
        <v>752</v>
      </c>
      <c r="E51">
        <v>34.512195121951201</v>
      </c>
      <c r="F51">
        <v>188.16489361702099</v>
      </c>
    </row>
    <row r="52" spans="1:6">
      <c r="A52" t="s">
        <v>51</v>
      </c>
      <c r="B52">
        <v>1401</v>
      </c>
      <c r="C52">
        <v>62</v>
      </c>
      <c r="D52">
        <v>864</v>
      </c>
      <c r="E52">
        <v>22.596774193548299</v>
      </c>
      <c r="F52">
        <v>162.152777777777</v>
      </c>
    </row>
    <row r="53" spans="1:6">
      <c r="A53" t="s">
        <v>52</v>
      </c>
      <c r="B53">
        <v>1400</v>
      </c>
      <c r="C53">
        <v>46</v>
      </c>
      <c r="D53">
        <v>1117</v>
      </c>
      <c r="E53">
        <v>30.434782608695599</v>
      </c>
      <c r="F53">
        <v>125.335720680393</v>
      </c>
    </row>
    <row r="54" spans="1:6">
      <c r="A54" t="s">
        <v>53</v>
      </c>
      <c r="B54">
        <v>1396</v>
      </c>
      <c r="C54">
        <v>37</v>
      </c>
      <c r="D54">
        <v>919</v>
      </c>
      <c r="E54">
        <v>37.729729729729698</v>
      </c>
      <c r="F54">
        <v>151.904243743199</v>
      </c>
    </row>
    <row r="55" spans="1:6">
      <c r="A55" t="s">
        <v>54</v>
      </c>
      <c r="B55">
        <v>1349</v>
      </c>
      <c r="C55">
        <v>54</v>
      </c>
      <c r="D55">
        <v>1261</v>
      </c>
      <c r="E55">
        <v>24.981481481481399</v>
      </c>
      <c r="F55">
        <v>106.978588421887</v>
      </c>
    </row>
    <row r="56" spans="1:6">
      <c r="A56" t="s">
        <v>55</v>
      </c>
      <c r="B56">
        <v>1322</v>
      </c>
      <c r="C56">
        <v>48</v>
      </c>
      <c r="D56">
        <v>1069</v>
      </c>
      <c r="E56">
        <v>27.5416666666666</v>
      </c>
      <c r="F56">
        <v>123.66697848456501</v>
      </c>
    </row>
    <row r="57" spans="1:6">
      <c r="A57" t="s">
        <v>56</v>
      </c>
      <c r="B57">
        <v>1309</v>
      </c>
      <c r="C57">
        <v>34</v>
      </c>
      <c r="D57">
        <v>964</v>
      </c>
      <c r="E57">
        <v>38.5</v>
      </c>
      <c r="F57">
        <v>135.78838174273801</v>
      </c>
    </row>
    <row r="58" spans="1:6">
      <c r="A58" t="s">
        <v>57</v>
      </c>
      <c r="B58">
        <v>1288</v>
      </c>
      <c r="C58">
        <v>37</v>
      </c>
      <c r="D58">
        <v>909</v>
      </c>
      <c r="E58">
        <v>34.8108108108108</v>
      </c>
      <c r="F58">
        <v>141.69416941694101</v>
      </c>
    </row>
    <row r="59" spans="1:6">
      <c r="A59" t="s">
        <v>58</v>
      </c>
      <c r="B59">
        <v>1276</v>
      </c>
      <c r="C59">
        <v>42</v>
      </c>
      <c r="D59">
        <v>1064</v>
      </c>
      <c r="E59">
        <v>30.380952380952301</v>
      </c>
      <c r="F59">
        <v>119.924812030075</v>
      </c>
    </row>
    <row r="60" spans="1:6">
      <c r="A60" t="s">
        <v>59</v>
      </c>
      <c r="B60">
        <v>1269</v>
      </c>
      <c r="C60">
        <v>67</v>
      </c>
      <c r="D60">
        <v>988</v>
      </c>
      <c r="E60">
        <v>18.9402985074626</v>
      </c>
      <c r="F60">
        <v>128.441295546558</v>
      </c>
    </row>
    <row r="61" spans="1:6">
      <c r="A61" t="s">
        <v>60</v>
      </c>
      <c r="B61">
        <v>1153</v>
      </c>
      <c r="C61">
        <v>41</v>
      </c>
      <c r="D61">
        <v>1006</v>
      </c>
      <c r="E61">
        <v>28.121951219512098</v>
      </c>
      <c r="F61">
        <v>114.612326043737</v>
      </c>
    </row>
    <row r="62" spans="1:6">
      <c r="A62" t="s">
        <v>61</v>
      </c>
      <c r="B62">
        <v>1150</v>
      </c>
      <c r="C62">
        <v>52</v>
      </c>
      <c r="D62">
        <v>948</v>
      </c>
      <c r="E62">
        <v>22.115384615384599</v>
      </c>
      <c r="F62">
        <v>121.308016877637</v>
      </c>
    </row>
    <row r="63" spans="1:6">
      <c r="A63" t="s">
        <v>62</v>
      </c>
      <c r="B63">
        <v>1107</v>
      </c>
      <c r="C63">
        <v>27</v>
      </c>
      <c r="D63">
        <v>802</v>
      </c>
      <c r="E63">
        <v>41</v>
      </c>
      <c r="F63">
        <v>138.02992518703201</v>
      </c>
    </row>
    <row r="64" spans="1:6">
      <c r="A64" t="s">
        <v>63</v>
      </c>
      <c r="B64">
        <v>1093</v>
      </c>
      <c r="C64">
        <v>40</v>
      </c>
      <c r="D64">
        <v>808</v>
      </c>
      <c r="E64">
        <v>27.324999999999999</v>
      </c>
      <c r="F64">
        <v>135.27227722772199</v>
      </c>
    </row>
    <row r="65" spans="1:6">
      <c r="A65" t="s">
        <v>64</v>
      </c>
      <c r="B65">
        <v>1087</v>
      </c>
      <c r="C65">
        <v>46</v>
      </c>
      <c r="D65">
        <v>851</v>
      </c>
      <c r="E65">
        <v>23.630434782608599</v>
      </c>
      <c r="F65">
        <v>127.73207990599199</v>
      </c>
    </row>
    <row r="66" spans="1:6">
      <c r="A66" t="s">
        <v>65</v>
      </c>
      <c r="B66">
        <v>1082</v>
      </c>
      <c r="C66">
        <v>38</v>
      </c>
      <c r="D66">
        <v>689</v>
      </c>
      <c r="E66">
        <v>28.473684210526301</v>
      </c>
      <c r="F66">
        <v>157.03918722786599</v>
      </c>
    </row>
    <row r="67" spans="1:6">
      <c r="A67" t="s">
        <v>66</v>
      </c>
      <c r="B67">
        <v>1079</v>
      </c>
      <c r="C67">
        <v>27</v>
      </c>
      <c r="D67">
        <v>851</v>
      </c>
      <c r="E67">
        <v>39.962962962962898</v>
      </c>
      <c r="F67">
        <v>126.792009400705</v>
      </c>
    </row>
    <row r="68" spans="1:6">
      <c r="A68" t="s">
        <v>67</v>
      </c>
      <c r="B68">
        <v>1017</v>
      </c>
      <c r="C68">
        <v>41</v>
      </c>
      <c r="D68">
        <v>818</v>
      </c>
      <c r="E68">
        <v>24.804878048780399</v>
      </c>
      <c r="F68">
        <v>124.327628361858</v>
      </c>
    </row>
    <row r="69" spans="1:6">
      <c r="A69" t="s">
        <v>68</v>
      </c>
      <c r="B69">
        <v>1013</v>
      </c>
      <c r="C69">
        <v>42</v>
      </c>
      <c r="D69">
        <v>767</v>
      </c>
      <c r="E69">
        <v>24.119047619047599</v>
      </c>
      <c r="F69">
        <v>132.073011734028</v>
      </c>
    </row>
    <row r="70" spans="1:6">
      <c r="A70" t="s">
        <v>69</v>
      </c>
      <c r="B70">
        <v>1001</v>
      </c>
      <c r="C70">
        <v>28</v>
      </c>
      <c r="D70">
        <v>740</v>
      </c>
      <c r="E70">
        <v>35.75</v>
      </c>
      <c r="F70">
        <v>135.27027027027</v>
      </c>
    </row>
    <row r="71" spans="1:6">
      <c r="A71" t="s">
        <v>70</v>
      </c>
      <c r="B71">
        <v>995</v>
      </c>
      <c r="C71">
        <v>35</v>
      </c>
      <c r="D71">
        <v>746</v>
      </c>
      <c r="E71">
        <v>28.428571428571399</v>
      </c>
      <c r="F71">
        <v>133.37801608578999</v>
      </c>
    </row>
    <row r="72" spans="1:6">
      <c r="A72" t="s">
        <v>71</v>
      </c>
      <c r="B72">
        <v>985</v>
      </c>
      <c r="C72">
        <v>42</v>
      </c>
      <c r="D72">
        <v>834</v>
      </c>
      <c r="E72">
        <v>23.452380952380899</v>
      </c>
      <c r="F72">
        <v>118.105515587529</v>
      </c>
    </row>
    <row r="73" spans="1:6">
      <c r="A73" t="s">
        <v>72</v>
      </c>
      <c r="B73">
        <v>975</v>
      </c>
      <c r="C73">
        <v>40</v>
      </c>
      <c r="D73">
        <v>682</v>
      </c>
      <c r="E73">
        <v>24.375</v>
      </c>
      <c r="F73">
        <v>142.96187683284401</v>
      </c>
    </row>
    <row r="74" spans="1:6">
      <c r="A74" t="s">
        <v>73</v>
      </c>
      <c r="B74">
        <v>974</v>
      </c>
      <c r="C74">
        <v>26</v>
      </c>
      <c r="D74">
        <v>748</v>
      </c>
      <c r="E74">
        <v>37.461538461538403</v>
      </c>
      <c r="F74">
        <v>130.213903743315</v>
      </c>
    </row>
    <row r="75" spans="1:6">
      <c r="A75" t="s">
        <v>74</v>
      </c>
      <c r="B75">
        <v>971</v>
      </c>
      <c r="C75">
        <v>35</v>
      </c>
      <c r="D75">
        <v>760</v>
      </c>
      <c r="E75">
        <v>27.742857142857101</v>
      </c>
      <c r="F75">
        <v>127.763157894736</v>
      </c>
    </row>
    <row r="76" spans="1:6">
      <c r="A76" t="s">
        <v>75</v>
      </c>
      <c r="B76">
        <v>969</v>
      </c>
      <c r="C76">
        <v>35</v>
      </c>
      <c r="D76">
        <v>756</v>
      </c>
      <c r="E76">
        <v>27.685714285714202</v>
      </c>
      <c r="F76">
        <v>128.17460317460299</v>
      </c>
    </row>
    <row r="77" spans="1:6">
      <c r="A77" t="s">
        <v>76</v>
      </c>
      <c r="B77">
        <v>897</v>
      </c>
      <c r="C77">
        <v>32</v>
      </c>
      <c r="D77">
        <v>609</v>
      </c>
      <c r="E77">
        <v>28.03125</v>
      </c>
      <c r="F77">
        <v>147.290640394088</v>
      </c>
    </row>
    <row r="78" spans="1:6">
      <c r="A78" t="s">
        <v>77</v>
      </c>
      <c r="B78">
        <v>886</v>
      </c>
      <c r="C78">
        <v>32</v>
      </c>
      <c r="D78">
        <v>802</v>
      </c>
      <c r="E78">
        <v>27.6875</v>
      </c>
      <c r="F78">
        <v>110.47381546134601</v>
      </c>
    </row>
    <row r="79" spans="1:6">
      <c r="A79" t="s">
        <v>78</v>
      </c>
      <c r="B79">
        <v>880</v>
      </c>
      <c r="C79">
        <v>44</v>
      </c>
      <c r="D79">
        <v>683</v>
      </c>
      <c r="E79">
        <v>20</v>
      </c>
      <c r="F79">
        <v>128.843338213762</v>
      </c>
    </row>
    <row r="80" spans="1:6">
      <c r="A80" t="s">
        <v>79</v>
      </c>
      <c r="B80">
        <v>854</v>
      </c>
      <c r="C80">
        <v>38</v>
      </c>
      <c r="D80">
        <v>702</v>
      </c>
      <c r="E80">
        <v>22.473684210526301</v>
      </c>
      <c r="F80">
        <v>121.652421652421</v>
      </c>
    </row>
    <row r="81" spans="1:6">
      <c r="A81" t="s">
        <v>80</v>
      </c>
      <c r="B81">
        <v>831</v>
      </c>
      <c r="C81">
        <v>56</v>
      </c>
      <c r="D81">
        <v>597</v>
      </c>
      <c r="E81">
        <v>14.839285714285699</v>
      </c>
      <c r="F81">
        <v>139.19597989949699</v>
      </c>
    </row>
    <row r="82" spans="1:6">
      <c r="A82" t="s">
        <v>81</v>
      </c>
      <c r="B82">
        <v>800</v>
      </c>
      <c r="C82">
        <v>43</v>
      </c>
      <c r="D82">
        <v>628</v>
      </c>
      <c r="E82">
        <v>18.604651162790699</v>
      </c>
      <c r="F82">
        <v>127.388535031847</v>
      </c>
    </row>
    <row r="83" spans="1:6">
      <c r="A83" t="s">
        <v>82</v>
      </c>
      <c r="B83">
        <v>798</v>
      </c>
      <c r="C83">
        <v>37</v>
      </c>
      <c r="D83">
        <v>697</v>
      </c>
      <c r="E83">
        <v>21.567567567567501</v>
      </c>
      <c r="F83">
        <v>114.490674318507</v>
      </c>
    </row>
    <row r="84" spans="1:6">
      <c r="A84" t="s">
        <v>83</v>
      </c>
      <c r="B84">
        <v>785</v>
      </c>
      <c r="C84">
        <v>40</v>
      </c>
      <c r="D84">
        <v>458</v>
      </c>
      <c r="E84">
        <v>19.625</v>
      </c>
      <c r="F84">
        <v>171.39737991266301</v>
      </c>
    </row>
    <row r="85" spans="1:6">
      <c r="A85" t="s">
        <v>84</v>
      </c>
      <c r="B85">
        <v>768</v>
      </c>
      <c r="C85">
        <v>29</v>
      </c>
      <c r="D85">
        <v>531</v>
      </c>
      <c r="E85">
        <v>26.482758620689602</v>
      </c>
      <c r="F85">
        <v>144.63276836158099</v>
      </c>
    </row>
    <row r="86" spans="1:6">
      <c r="A86" t="s">
        <v>85</v>
      </c>
      <c r="B86">
        <v>761</v>
      </c>
      <c r="C86">
        <v>27</v>
      </c>
      <c r="D86">
        <v>553</v>
      </c>
      <c r="E86">
        <v>28.185185185185102</v>
      </c>
      <c r="F86">
        <v>137.61301989149999</v>
      </c>
    </row>
    <row r="87" spans="1:6">
      <c r="A87" t="s">
        <v>86</v>
      </c>
      <c r="B87">
        <v>750</v>
      </c>
      <c r="C87">
        <v>34</v>
      </c>
      <c r="D87">
        <v>588</v>
      </c>
      <c r="E87">
        <v>22.058823529411701</v>
      </c>
      <c r="F87">
        <v>127.551020408163</v>
      </c>
    </row>
    <row r="88" spans="1:6">
      <c r="A88" t="s">
        <v>87</v>
      </c>
      <c r="B88">
        <v>739</v>
      </c>
      <c r="C88">
        <v>30</v>
      </c>
      <c r="D88">
        <v>666</v>
      </c>
      <c r="E88">
        <v>24.633333333333301</v>
      </c>
      <c r="F88">
        <v>110.96096096095999</v>
      </c>
    </row>
    <row r="89" spans="1:6">
      <c r="A89" t="s">
        <v>88</v>
      </c>
      <c r="B89">
        <v>724</v>
      </c>
      <c r="C89">
        <v>31</v>
      </c>
      <c r="D89">
        <v>573</v>
      </c>
      <c r="E89">
        <v>23.354838709677399</v>
      </c>
      <c r="F89">
        <v>126.352530541012</v>
      </c>
    </row>
    <row r="90" spans="1:6">
      <c r="A90" t="s">
        <v>89</v>
      </c>
      <c r="B90">
        <v>701</v>
      </c>
      <c r="C90">
        <v>31</v>
      </c>
      <c r="D90">
        <v>531</v>
      </c>
      <c r="E90">
        <v>22.612903225806399</v>
      </c>
      <c r="F90">
        <v>132.01506591337099</v>
      </c>
    </row>
    <row r="91" spans="1:6">
      <c r="A91" t="s">
        <v>90</v>
      </c>
      <c r="B91">
        <v>676</v>
      </c>
      <c r="C91">
        <v>30</v>
      </c>
      <c r="D91">
        <v>573</v>
      </c>
      <c r="E91">
        <v>22.533333333333299</v>
      </c>
      <c r="F91">
        <v>117.975567190226</v>
      </c>
    </row>
    <row r="92" spans="1:6">
      <c r="A92" t="s">
        <v>91</v>
      </c>
      <c r="B92">
        <v>672</v>
      </c>
      <c r="C92">
        <v>39</v>
      </c>
      <c r="D92">
        <v>574</v>
      </c>
      <c r="E92">
        <v>17.230769230769202</v>
      </c>
      <c r="F92">
        <v>117.07317073170699</v>
      </c>
    </row>
    <row r="93" spans="1:6">
      <c r="A93" t="s">
        <v>92</v>
      </c>
      <c r="B93">
        <v>663</v>
      </c>
      <c r="C93">
        <v>29</v>
      </c>
      <c r="D93">
        <v>543</v>
      </c>
      <c r="E93">
        <v>22.862068965517199</v>
      </c>
      <c r="F93">
        <v>122.099447513812</v>
      </c>
    </row>
    <row r="94" spans="1:6">
      <c r="A94" t="s">
        <v>93</v>
      </c>
      <c r="B94">
        <v>641</v>
      </c>
      <c r="C94">
        <v>30</v>
      </c>
      <c r="D94">
        <v>481</v>
      </c>
      <c r="E94">
        <v>21.3666666666666</v>
      </c>
      <c r="F94">
        <v>133.264033264033</v>
      </c>
    </row>
    <row r="95" spans="1:6">
      <c r="A95" t="s">
        <v>94</v>
      </c>
      <c r="B95">
        <v>608</v>
      </c>
      <c r="C95">
        <v>29</v>
      </c>
      <c r="D95">
        <v>465</v>
      </c>
      <c r="E95">
        <v>20.965517241379299</v>
      </c>
      <c r="F95">
        <v>130.75268817204301</v>
      </c>
    </row>
    <row r="96" spans="1:6">
      <c r="A96" t="s">
        <v>95</v>
      </c>
      <c r="B96">
        <v>604</v>
      </c>
      <c r="C96">
        <v>29</v>
      </c>
      <c r="D96">
        <v>456</v>
      </c>
      <c r="E96">
        <v>20.827586206896498</v>
      </c>
      <c r="F96">
        <v>132.45614035087701</v>
      </c>
    </row>
    <row r="97" spans="1:6">
      <c r="A97" t="s">
        <v>96</v>
      </c>
      <c r="B97">
        <v>604</v>
      </c>
      <c r="C97">
        <v>24</v>
      </c>
      <c r="D97">
        <v>423</v>
      </c>
      <c r="E97">
        <v>25.1666666666666</v>
      </c>
      <c r="F97">
        <v>142.78959810874699</v>
      </c>
    </row>
    <row r="98" spans="1:6">
      <c r="A98" t="s">
        <v>97</v>
      </c>
      <c r="B98">
        <v>584</v>
      </c>
      <c r="C98">
        <v>50</v>
      </c>
      <c r="D98">
        <v>519</v>
      </c>
      <c r="E98">
        <v>11.68</v>
      </c>
      <c r="F98">
        <v>112.52408477842</v>
      </c>
    </row>
    <row r="99" spans="1:6">
      <c r="A99" t="s">
        <v>98</v>
      </c>
      <c r="B99">
        <v>577</v>
      </c>
      <c r="C99">
        <v>13</v>
      </c>
      <c r="D99">
        <v>407</v>
      </c>
      <c r="E99">
        <v>44.384615384615302</v>
      </c>
      <c r="F99">
        <v>141.769041769041</v>
      </c>
    </row>
    <row r="100" spans="1:6">
      <c r="A100" t="s">
        <v>99</v>
      </c>
      <c r="B100">
        <v>563</v>
      </c>
      <c r="C100">
        <v>17</v>
      </c>
      <c r="D100">
        <v>416</v>
      </c>
      <c r="E100">
        <v>33.117647058823501</v>
      </c>
      <c r="F100">
        <v>135.336538461538</v>
      </c>
    </row>
    <row r="101" spans="1:6">
      <c r="A101" t="s">
        <v>100</v>
      </c>
      <c r="B101">
        <v>538</v>
      </c>
      <c r="C101">
        <v>22</v>
      </c>
      <c r="D101">
        <v>423</v>
      </c>
      <c r="E101">
        <v>24.4545454545454</v>
      </c>
      <c r="F101">
        <v>127.186761229314</v>
      </c>
    </row>
    <row r="102" spans="1:6">
      <c r="A102" t="s">
        <v>101</v>
      </c>
      <c r="B102">
        <v>531</v>
      </c>
      <c r="C102">
        <v>19</v>
      </c>
      <c r="D102">
        <v>452</v>
      </c>
      <c r="E102">
        <v>27.947368421052602</v>
      </c>
      <c r="F102">
        <v>117.477876106194</v>
      </c>
    </row>
    <row r="103" spans="1:6">
      <c r="A103" t="s">
        <v>102</v>
      </c>
      <c r="B103">
        <v>527</v>
      </c>
      <c r="C103">
        <v>28</v>
      </c>
      <c r="D103">
        <v>387</v>
      </c>
      <c r="E103">
        <v>18.821428571428498</v>
      </c>
      <c r="F103">
        <v>136.17571059431501</v>
      </c>
    </row>
    <row r="104" spans="1:6">
      <c r="A104" t="s">
        <v>103</v>
      </c>
      <c r="B104">
        <v>526</v>
      </c>
      <c r="C104">
        <v>33</v>
      </c>
      <c r="D104">
        <v>413</v>
      </c>
      <c r="E104">
        <v>15.9393939393939</v>
      </c>
      <c r="F104">
        <v>127.360774818401</v>
      </c>
    </row>
    <row r="105" spans="1:6">
      <c r="A105" t="s">
        <v>104</v>
      </c>
      <c r="B105">
        <v>519</v>
      </c>
      <c r="C105">
        <v>20</v>
      </c>
      <c r="D105">
        <v>327</v>
      </c>
      <c r="E105">
        <v>25.95</v>
      </c>
      <c r="F105">
        <v>158.71559633027499</v>
      </c>
    </row>
    <row r="106" spans="1:6">
      <c r="A106" t="s">
        <v>105</v>
      </c>
      <c r="B106">
        <v>514</v>
      </c>
      <c r="C106">
        <v>24</v>
      </c>
      <c r="D106">
        <v>469</v>
      </c>
      <c r="E106">
        <v>21.4166666666666</v>
      </c>
      <c r="F106">
        <v>109.59488272921099</v>
      </c>
    </row>
    <row r="107" spans="1:6">
      <c r="A107" t="s">
        <v>106</v>
      </c>
      <c r="B107">
        <v>510</v>
      </c>
      <c r="C107">
        <v>14</v>
      </c>
      <c r="D107">
        <v>377</v>
      </c>
      <c r="E107">
        <v>36.428571428571402</v>
      </c>
      <c r="F107">
        <v>135.278514588859</v>
      </c>
    </row>
    <row r="108" spans="1:6">
      <c r="A108" t="s">
        <v>107</v>
      </c>
      <c r="B108">
        <v>506</v>
      </c>
      <c r="C108">
        <v>13</v>
      </c>
      <c r="D108">
        <v>386</v>
      </c>
      <c r="E108">
        <v>38.923076923076898</v>
      </c>
      <c r="F108">
        <v>131.088082901554</v>
      </c>
    </row>
    <row r="109" spans="1:6">
      <c r="A109" t="s">
        <v>108</v>
      </c>
      <c r="B109">
        <v>505</v>
      </c>
      <c r="C109">
        <v>22</v>
      </c>
      <c r="D109">
        <v>415</v>
      </c>
      <c r="E109">
        <v>22.9545454545454</v>
      </c>
      <c r="F109">
        <v>121.686746987951</v>
      </c>
    </row>
    <row r="110" spans="1:6">
      <c r="A110" t="s">
        <v>109</v>
      </c>
      <c r="B110">
        <v>476</v>
      </c>
      <c r="C110">
        <v>15</v>
      </c>
      <c r="D110">
        <v>362</v>
      </c>
      <c r="E110">
        <v>31.733333333333299</v>
      </c>
      <c r="F110">
        <v>131.49171270718199</v>
      </c>
    </row>
    <row r="111" spans="1:6">
      <c r="A111" t="s">
        <v>110</v>
      </c>
      <c r="B111">
        <v>459</v>
      </c>
      <c r="C111">
        <v>8</v>
      </c>
      <c r="D111">
        <v>284</v>
      </c>
      <c r="E111">
        <v>57.375</v>
      </c>
      <c r="F111">
        <v>161.619718309859</v>
      </c>
    </row>
    <row r="112" spans="1:6">
      <c r="A112" t="s">
        <v>111</v>
      </c>
      <c r="B112">
        <v>448</v>
      </c>
      <c r="C112">
        <v>24</v>
      </c>
      <c r="D112">
        <v>373</v>
      </c>
      <c r="E112">
        <v>18.6666666666666</v>
      </c>
      <c r="F112">
        <v>120.107238605898</v>
      </c>
    </row>
    <row r="113" spans="1:6">
      <c r="A113" t="s">
        <v>112</v>
      </c>
      <c r="B113">
        <v>443</v>
      </c>
      <c r="C113">
        <v>26</v>
      </c>
      <c r="D113">
        <v>342</v>
      </c>
      <c r="E113">
        <v>17.038461538461501</v>
      </c>
      <c r="F113">
        <v>129.53216374268999</v>
      </c>
    </row>
    <row r="114" spans="1:6">
      <c r="A114" t="s">
        <v>113</v>
      </c>
      <c r="B114">
        <v>437</v>
      </c>
      <c r="C114">
        <v>16</v>
      </c>
      <c r="D114">
        <v>327</v>
      </c>
      <c r="E114">
        <v>27.3125</v>
      </c>
      <c r="F114">
        <v>133.63914373088599</v>
      </c>
    </row>
    <row r="115" spans="1:6">
      <c r="A115" t="s">
        <v>114</v>
      </c>
      <c r="B115">
        <v>424</v>
      </c>
      <c r="C115">
        <v>24</v>
      </c>
      <c r="D115">
        <v>305</v>
      </c>
      <c r="E115">
        <v>17.6666666666666</v>
      </c>
      <c r="F115">
        <v>139.01639344262199</v>
      </c>
    </row>
    <row r="116" spans="1:6">
      <c r="A116" t="s">
        <v>115</v>
      </c>
      <c r="B116">
        <v>423</v>
      </c>
      <c r="C116">
        <v>19</v>
      </c>
      <c r="D116">
        <v>339</v>
      </c>
      <c r="E116">
        <v>22.2631578947368</v>
      </c>
      <c r="F116">
        <v>124.778761061946</v>
      </c>
    </row>
    <row r="117" spans="1:6">
      <c r="A117" t="s">
        <v>116</v>
      </c>
      <c r="B117">
        <v>417</v>
      </c>
      <c r="C117">
        <v>17</v>
      </c>
      <c r="D117">
        <v>305</v>
      </c>
      <c r="E117">
        <v>24.529411764705799</v>
      </c>
      <c r="F117">
        <v>136.72131147540901</v>
      </c>
    </row>
    <row r="118" spans="1:6">
      <c r="A118" t="s">
        <v>117</v>
      </c>
      <c r="B118">
        <v>412</v>
      </c>
      <c r="C118">
        <v>18</v>
      </c>
      <c r="D118">
        <v>285</v>
      </c>
      <c r="E118">
        <v>22.8888888888888</v>
      </c>
      <c r="F118">
        <v>144.56140350877101</v>
      </c>
    </row>
    <row r="119" spans="1:6">
      <c r="A119" t="s">
        <v>118</v>
      </c>
      <c r="B119">
        <v>409</v>
      </c>
      <c r="C119">
        <v>22</v>
      </c>
      <c r="D119">
        <v>358</v>
      </c>
      <c r="E119">
        <v>18.590909090909001</v>
      </c>
      <c r="F119">
        <v>114.24581005586499</v>
      </c>
    </row>
    <row r="120" spans="1:6">
      <c r="A120" t="s">
        <v>119</v>
      </c>
      <c r="B120">
        <v>405</v>
      </c>
      <c r="C120">
        <v>29</v>
      </c>
      <c r="D120">
        <v>346</v>
      </c>
      <c r="E120">
        <v>13.965517241379301</v>
      </c>
      <c r="F120">
        <v>117.05202312138699</v>
      </c>
    </row>
    <row r="121" spans="1:6">
      <c r="A121" t="s">
        <v>120</v>
      </c>
      <c r="B121">
        <v>401</v>
      </c>
      <c r="C121">
        <v>22</v>
      </c>
      <c r="D121">
        <v>356</v>
      </c>
      <c r="E121">
        <v>18.227272727272702</v>
      </c>
      <c r="F121">
        <v>112.640449438202</v>
      </c>
    </row>
    <row r="122" spans="1:6">
      <c r="A122" t="s">
        <v>121</v>
      </c>
      <c r="B122">
        <v>394</v>
      </c>
      <c r="C122">
        <v>15</v>
      </c>
      <c r="D122">
        <v>308</v>
      </c>
      <c r="E122">
        <v>26.266666666666602</v>
      </c>
      <c r="F122">
        <v>127.92207792207699</v>
      </c>
    </row>
    <row r="123" spans="1:6">
      <c r="A123" t="s">
        <v>122</v>
      </c>
      <c r="B123">
        <v>390</v>
      </c>
      <c r="C123">
        <v>18</v>
      </c>
      <c r="D123">
        <v>391</v>
      </c>
      <c r="E123">
        <v>21.6666666666666</v>
      </c>
      <c r="F123">
        <v>99.744245524296602</v>
      </c>
    </row>
    <row r="124" spans="1:6">
      <c r="A124" t="s">
        <v>123</v>
      </c>
      <c r="B124">
        <v>388</v>
      </c>
      <c r="C124">
        <v>19</v>
      </c>
      <c r="D124">
        <v>302</v>
      </c>
      <c r="E124">
        <v>20.421052631578899</v>
      </c>
      <c r="F124">
        <v>128.476821192052</v>
      </c>
    </row>
    <row r="125" spans="1:6">
      <c r="A125" t="s">
        <v>124</v>
      </c>
      <c r="B125">
        <v>376</v>
      </c>
      <c r="C125">
        <v>33</v>
      </c>
      <c r="D125">
        <v>336</v>
      </c>
      <c r="E125">
        <v>11.3939393939393</v>
      </c>
      <c r="F125">
        <v>111.904761904761</v>
      </c>
    </row>
    <row r="126" spans="1:6">
      <c r="A126" t="s">
        <v>125</v>
      </c>
      <c r="B126">
        <v>375</v>
      </c>
      <c r="C126">
        <v>20</v>
      </c>
      <c r="D126">
        <v>317</v>
      </c>
      <c r="E126">
        <v>18.75</v>
      </c>
      <c r="F126">
        <v>118.296529968454</v>
      </c>
    </row>
    <row r="127" spans="1:6">
      <c r="A127" t="s">
        <v>126</v>
      </c>
      <c r="B127">
        <v>368</v>
      </c>
      <c r="C127">
        <v>18</v>
      </c>
      <c r="D127">
        <v>290</v>
      </c>
      <c r="E127">
        <v>20.4444444444444</v>
      </c>
      <c r="F127">
        <v>126.896551724137</v>
      </c>
    </row>
    <row r="128" spans="1:6">
      <c r="A128" t="s">
        <v>127</v>
      </c>
      <c r="B128">
        <v>366</v>
      </c>
      <c r="C128">
        <v>29</v>
      </c>
      <c r="D128">
        <v>385</v>
      </c>
      <c r="E128">
        <v>12.6206896551724</v>
      </c>
      <c r="F128">
        <v>95.064935064935</v>
      </c>
    </row>
    <row r="129" spans="1:6">
      <c r="A129" t="s">
        <v>128</v>
      </c>
      <c r="B129">
        <v>365</v>
      </c>
      <c r="C129">
        <v>26</v>
      </c>
      <c r="D129">
        <v>288</v>
      </c>
      <c r="E129">
        <v>14.038461538461499</v>
      </c>
      <c r="F129">
        <v>126.736111111111</v>
      </c>
    </row>
    <row r="130" spans="1:6">
      <c r="A130" t="s">
        <v>129</v>
      </c>
      <c r="B130">
        <v>342</v>
      </c>
      <c r="C130">
        <v>29</v>
      </c>
      <c r="D130">
        <v>284</v>
      </c>
      <c r="E130">
        <v>11.793103448275801</v>
      </c>
      <c r="F130">
        <v>120.422535211267</v>
      </c>
    </row>
    <row r="131" spans="1:6">
      <c r="A131" t="s">
        <v>130</v>
      </c>
      <c r="B131">
        <v>340</v>
      </c>
      <c r="C131">
        <v>34</v>
      </c>
      <c r="D131">
        <v>314</v>
      </c>
      <c r="E131">
        <v>10</v>
      </c>
      <c r="F131">
        <v>108.28025477707</v>
      </c>
    </row>
    <row r="132" spans="1:6">
      <c r="A132" t="s">
        <v>131</v>
      </c>
      <c r="B132">
        <v>339</v>
      </c>
      <c r="C132">
        <v>24</v>
      </c>
      <c r="D132">
        <v>273</v>
      </c>
      <c r="E132">
        <v>14.125</v>
      </c>
      <c r="F132">
        <v>124.175824175824</v>
      </c>
    </row>
    <row r="133" spans="1:6">
      <c r="A133" t="s">
        <v>132</v>
      </c>
      <c r="B133">
        <v>337</v>
      </c>
      <c r="C133">
        <v>19</v>
      </c>
      <c r="D133">
        <v>250</v>
      </c>
      <c r="E133">
        <v>17.736842105263101</v>
      </c>
      <c r="F133">
        <v>134.80000000000001</v>
      </c>
    </row>
    <row r="134" spans="1:6">
      <c r="A134" t="s">
        <v>133</v>
      </c>
      <c r="B134">
        <v>327</v>
      </c>
      <c r="C134">
        <v>11</v>
      </c>
      <c r="D134">
        <v>300</v>
      </c>
      <c r="E134">
        <v>29.727272727272702</v>
      </c>
      <c r="F134">
        <v>109</v>
      </c>
    </row>
    <row r="135" spans="1:6">
      <c r="A135" t="s">
        <v>134</v>
      </c>
      <c r="B135">
        <v>326</v>
      </c>
      <c r="C135">
        <v>17</v>
      </c>
      <c r="D135">
        <v>234</v>
      </c>
      <c r="E135">
        <v>19.176470588235201</v>
      </c>
      <c r="F135">
        <v>139.31623931623901</v>
      </c>
    </row>
    <row r="136" spans="1:6">
      <c r="A136" t="s">
        <v>135</v>
      </c>
      <c r="B136">
        <v>317</v>
      </c>
      <c r="C136">
        <v>21</v>
      </c>
      <c r="D136">
        <v>270</v>
      </c>
      <c r="E136">
        <v>15.095238095238001</v>
      </c>
      <c r="F136">
        <v>117.40740740740701</v>
      </c>
    </row>
    <row r="137" spans="1:6">
      <c r="A137" t="s">
        <v>136</v>
      </c>
      <c r="B137">
        <v>310</v>
      </c>
      <c r="C137">
        <v>26</v>
      </c>
      <c r="D137">
        <v>271</v>
      </c>
      <c r="E137">
        <v>11.9230769230769</v>
      </c>
      <c r="F137">
        <v>114.391143911439</v>
      </c>
    </row>
    <row r="138" spans="1:6">
      <c r="A138" t="s">
        <v>137</v>
      </c>
      <c r="B138">
        <v>304</v>
      </c>
      <c r="C138">
        <v>12</v>
      </c>
      <c r="D138">
        <v>260</v>
      </c>
      <c r="E138">
        <v>25.3333333333333</v>
      </c>
      <c r="F138">
        <v>116.923076923076</v>
      </c>
    </row>
    <row r="139" spans="1:6">
      <c r="A139" t="s">
        <v>138</v>
      </c>
      <c r="B139">
        <v>304</v>
      </c>
      <c r="C139">
        <v>15</v>
      </c>
      <c r="D139">
        <v>223</v>
      </c>
      <c r="E139">
        <v>20.266666666666602</v>
      </c>
      <c r="F139">
        <v>136.32286995515599</v>
      </c>
    </row>
    <row r="140" spans="1:6">
      <c r="A140" t="s">
        <v>139</v>
      </c>
      <c r="B140">
        <v>302</v>
      </c>
      <c r="C140">
        <v>10</v>
      </c>
      <c r="D140">
        <v>177</v>
      </c>
      <c r="E140">
        <v>30.2</v>
      </c>
      <c r="F140">
        <v>170.62146892655301</v>
      </c>
    </row>
    <row r="141" spans="1:6">
      <c r="A141" t="s">
        <v>140</v>
      </c>
      <c r="B141">
        <v>302</v>
      </c>
      <c r="C141">
        <v>11</v>
      </c>
      <c r="D141">
        <v>244</v>
      </c>
      <c r="E141">
        <v>27.4545454545454</v>
      </c>
      <c r="F141">
        <v>123.77049180327801</v>
      </c>
    </row>
    <row r="142" spans="1:6">
      <c r="A142" t="s">
        <v>141</v>
      </c>
      <c r="B142">
        <v>300</v>
      </c>
      <c r="C142">
        <v>20</v>
      </c>
      <c r="D142">
        <v>300</v>
      </c>
      <c r="E142">
        <v>15</v>
      </c>
      <c r="F142">
        <v>100</v>
      </c>
    </row>
    <row r="143" spans="1:6">
      <c r="A143" t="s">
        <v>142</v>
      </c>
      <c r="B143">
        <v>295</v>
      </c>
      <c r="C143">
        <v>18</v>
      </c>
      <c r="D143">
        <v>290</v>
      </c>
      <c r="E143">
        <v>16.3888888888888</v>
      </c>
      <c r="F143">
        <v>101.72413793103399</v>
      </c>
    </row>
    <row r="144" spans="1:6">
      <c r="A144" t="s">
        <v>143</v>
      </c>
      <c r="B144">
        <v>295</v>
      </c>
      <c r="C144">
        <v>15</v>
      </c>
      <c r="D144">
        <v>241</v>
      </c>
      <c r="E144">
        <v>19.6666666666666</v>
      </c>
      <c r="F144">
        <v>122.406639004149</v>
      </c>
    </row>
    <row r="145" spans="1:6">
      <c r="A145" t="s">
        <v>144</v>
      </c>
      <c r="B145">
        <v>285</v>
      </c>
      <c r="C145">
        <v>15</v>
      </c>
      <c r="D145">
        <v>257</v>
      </c>
      <c r="E145">
        <v>19</v>
      </c>
      <c r="F145">
        <v>110.89494163424099</v>
      </c>
    </row>
    <row r="146" spans="1:6">
      <c r="A146" t="s">
        <v>145</v>
      </c>
      <c r="B146">
        <v>282</v>
      </c>
      <c r="C146">
        <v>16</v>
      </c>
      <c r="D146">
        <v>266</v>
      </c>
      <c r="E146">
        <v>17.625</v>
      </c>
      <c r="F146">
        <v>106.015037593984</v>
      </c>
    </row>
    <row r="147" spans="1:6">
      <c r="A147" t="s">
        <v>146</v>
      </c>
      <c r="B147">
        <v>280</v>
      </c>
      <c r="C147">
        <v>18</v>
      </c>
      <c r="D147">
        <v>312</v>
      </c>
      <c r="E147">
        <v>15.5555555555555</v>
      </c>
      <c r="F147">
        <v>89.743589743589695</v>
      </c>
    </row>
    <row r="148" spans="1:6">
      <c r="A148" t="s">
        <v>147</v>
      </c>
      <c r="B148">
        <v>280</v>
      </c>
      <c r="C148">
        <v>15</v>
      </c>
      <c r="D148">
        <v>191</v>
      </c>
      <c r="E148">
        <v>18.6666666666666</v>
      </c>
      <c r="F148">
        <v>146.59685863874299</v>
      </c>
    </row>
    <row r="149" spans="1:6">
      <c r="A149" t="s">
        <v>148</v>
      </c>
      <c r="B149">
        <v>280</v>
      </c>
      <c r="C149">
        <v>16</v>
      </c>
      <c r="D149">
        <v>250</v>
      </c>
      <c r="E149">
        <v>17.5</v>
      </c>
      <c r="F149">
        <v>112</v>
      </c>
    </row>
    <row r="150" spans="1:6">
      <c r="A150" t="s">
        <v>149</v>
      </c>
      <c r="B150">
        <v>278</v>
      </c>
      <c r="C150">
        <v>10</v>
      </c>
      <c r="D150">
        <v>193</v>
      </c>
      <c r="E150">
        <v>27.8</v>
      </c>
      <c r="F150">
        <v>144.04145077720199</v>
      </c>
    </row>
    <row r="151" spans="1:6">
      <c r="A151" t="s">
        <v>150</v>
      </c>
      <c r="B151">
        <v>271</v>
      </c>
      <c r="C151">
        <v>12</v>
      </c>
      <c r="D151">
        <v>196</v>
      </c>
      <c r="E151">
        <v>22.5833333333333</v>
      </c>
      <c r="F151">
        <v>138.26530612244801</v>
      </c>
    </row>
    <row r="152" spans="1:6">
      <c r="A152" t="s">
        <v>151</v>
      </c>
      <c r="B152">
        <v>270</v>
      </c>
      <c r="C152">
        <v>16</v>
      </c>
      <c r="D152">
        <v>231</v>
      </c>
      <c r="E152">
        <v>16.875</v>
      </c>
      <c r="F152">
        <v>116.883116883116</v>
      </c>
    </row>
    <row r="153" spans="1:6">
      <c r="A153" t="s">
        <v>152</v>
      </c>
      <c r="B153">
        <v>259</v>
      </c>
      <c r="C153">
        <v>16</v>
      </c>
      <c r="D153">
        <v>249</v>
      </c>
      <c r="E153">
        <v>16.1875</v>
      </c>
      <c r="F153">
        <v>104.01606425702801</v>
      </c>
    </row>
    <row r="154" spans="1:6">
      <c r="A154" t="s">
        <v>153</v>
      </c>
      <c r="B154">
        <v>241</v>
      </c>
      <c r="C154">
        <v>10</v>
      </c>
      <c r="D154">
        <v>184</v>
      </c>
      <c r="E154">
        <v>24.1</v>
      </c>
      <c r="F154">
        <v>130.97826086956499</v>
      </c>
    </row>
    <row r="155" spans="1:6">
      <c r="A155" t="s">
        <v>154</v>
      </c>
      <c r="B155">
        <v>239</v>
      </c>
      <c r="C155">
        <v>11</v>
      </c>
      <c r="D155">
        <v>141</v>
      </c>
      <c r="E155">
        <v>21.727272727272702</v>
      </c>
      <c r="F155">
        <v>169.50354609928999</v>
      </c>
    </row>
    <row r="156" spans="1:6">
      <c r="A156" t="s">
        <v>155</v>
      </c>
      <c r="B156">
        <v>237</v>
      </c>
      <c r="C156">
        <v>15</v>
      </c>
      <c r="D156">
        <v>208</v>
      </c>
      <c r="E156">
        <v>15.8</v>
      </c>
      <c r="F156">
        <v>113.942307692307</v>
      </c>
    </row>
    <row r="157" spans="1:6">
      <c r="A157" t="s">
        <v>156</v>
      </c>
      <c r="B157">
        <v>225</v>
      </c>
      <c r="C157">
        <v>12</v>
      </c>
      <c r="D157">
        <v>196</v>
      </c>
      <c r="E157">
        <v>18.75</v>
      </c>
      <c r="F157">
        <v>114.795918367346</v>
      </c>
    </row>
    <row r="158" spans="1:6">
      <c r="A158" t="s">
        <v>157</v>
      </c>
      <c r="B158">
        <v>218</v>
      </c>
      <c r="C158">
        <v>13</v>
      </c>
      <c r="D158">
        <v>230</v>
      </c>
      <c r="E158">
        <v>16.769230769230699</v>
      </c>
      <c r="F158">
        <v>94.782608695652101</v>
      </c>
    </row>
    <row r="159" spans="1:6">
      <c r="A159" t="s">
        <v>158</v>
      </c>
      <c r="B159">
        <v>217</v>
      </c>
      <c r="C159">
        <v>14</v>
      </c>
      <c r="D159">
        <v>210</v>
      </c>
      <c r="E159">
        <v>15.5</v>
      </c>
      <c r="F159">
        <v>103.333333333333</v>
      </c>
    </row>
    <row r="160" spans="1:6">
      <c r="A160" t="s">
        <v>159</v>
      </c>
      <c r="B160">
        <v>205</v>
      </c>
      <c r="C160">
        <v>6</v>
      </c>
      <c r="D160">
        <v>148</v>
      </c>
      <c r="E160">
        <v>34.1666666666666</v>
      </c>
      <c r="F160">
        <v>138.513513513513</v>
      </c>
    </row>
    <row r="161" spans="1:6">
      <c r="A161" t="s">
        <v>160</v>
      </c>
      <c r="B161">
        <v>203</v>
      </c>
      <c r="C161">
        <v>4</v>
      </c>
      <c r="D161">
        <v>156</v>
      </c>
      <c r="E161">
        <v>50.75</v>
      </c>
      <c r="F161">
        <v>130.128205128205</v>
      </c>
    </row>
    <row r="162" spans="1:6">
      <c r="A162" t="s">
        <v>161</v>
      </c>
      <c r="B162">
        <v>198</v>
      </c>
      <c r="C162">
        <v>19</v>
      </c>
      <c r="D162">
        <v>213</v>
      </c>
      <c r="E162">
        <v>10.421052631578901</v>
      </c>
      <c r="F162">
        <v>92.957746478873204</v>
      </c>
    </row>
    <row r="163" spans="1:6">
      <c r="A163" t="s">
        <v>162</v>
      </c>
      <c r="B163">
        <v>196</v>
      </c>
      <c r="C163">
        <v>9</v>
      </c>
      <c r="D163">
        <v>165</v>
      </c>
      <c r="E163">
        <v>21.7777777777777</v>
      </c>
      <c r="F163">
        <v>118.787878787878</v>
      </c>
    </row>
    <row r="164" spans="1:6">
      <c r="A164" t="s">
        <v>163</v>
      </c>
      <c r="B164">
        <v>194</v>
      </c>
      <c r="C164">
        <v>11</v>
      </c>
      <c r="D164">
        <v>167</v>
      </c>
      <c r="E164">
        <v>17.636363636363601</v>
      </c>
      <c r="F164">
        <v>116.167664670658</v>
      </c>
    </row>
    <row r="165" spans="1:6">
      <c r="A165" t="s">
        <v>164</v>
      </c>
      <c r="B165">
        <v>193</v>
      </c>
      <c r="C165">
        <v>7</v>
      </c>
      <c r="D165">
        <v>141</v>
      </c>
      <c r="E165">
        <v>27.571428571428498</v>
      </c>
      <c r="F165">
        <v>136.87943262411301</v>
      </c>
    </row>
    <row r="166" spans="1:6">
      <c r="A166" t="s">
        <v>165</v>
      </c>
      <c r="B166">
        <v>193</v>
      </c>
      <c r="C166">
        <v>7</v>
      </c>
      <c r="D166">
        <v>161</v>
      </c>
      <c r="E166">
        <v>27.571428571428498</v>
      </c>
      <c r="F166">
        <v>119.875776397515</v>
      </c>
    </row>
    <row r="167" spans="1:6">
      <c r="A167" t="s">
        <v>166</v>
      </c>
      <c r="B167">
        <v>192</v>
      </c>
      <c r="C167">
        <v>8</v>
      </c>
      <c r="D167">
        <v>178</v>
      </c>
      <c r="E167">
        <v>24</v>
      </c>
      <c r="F167">
        <v>107.865168539325</v>
      </c>
    </row>
    <row r="168" spans="1:6">
      <c r="A168" t="s">
        <v>167</v>
      </c>
      <c r="B168">
        <v>187</v>
      </c>
      <c r="C168">
        <v>6</v>
      </c>
      <c r="D168">
        <v>121</v>
      </c>
      <c r="E168">
        <v>31.1666666666666</v>
      </c>
      <c r="F168">
        <v>154.54545454545399</v>
      </c>
    </row>
    <row r="169" spans="1:6">
      <c r="A169" t="s">
        <v>168</v>
      </c>
      <c r="B169">
        <v>184</v>
      </c>
      <c r="C169">
        <v>10</v>
      </c>
      <c r="D169">
        <v>154</v>
      </c>
      <c r="E169">
        <v>18.399999999999999</v>
      </c>
      <c r="F169">
        <v>119.48051948051901</v>
      </c>
    </row>
    <row r="170" spans="1:6">
      <c r="A170" t="s">
        <v>169</v>
      </c>
      <c r="B170">
        <v>184</v>
      </c>
      <c r="C170">
        <v>23</v>
      </c>
      <c r="D170">
        <v>189</v>
      </c>
      <c r="E170">
        <v>8</v>
      </c>
      <c r="F170">
        <v>97.354497354497298</v>
      </c>
    </row>
    <row r="171" spans="1:6">
      <c r="A171" t="s">
        <v>170</v>
      </c>
      <c r="B171">
        <v>183</v>
      </c>
      <c r="C171">
        <v>9</v>
      </c>
      <c r="D171">
        <v>172</v>
      </c>
      <c r="E171">
        <v>20.3333333333333</v>
      </c>
      <c r="F171">
        <v>106.395348837209</v>
      </c>
    </row>
    <row r="172" spans="1:6">
      <c r="A172" t="s">
        <v>171</v>
      </c>
      <c r="B172">
        <v>183</v>
      </c>
      <c r="C172">
        <v>5</v>
      </c>
      <c r="D172">
        <v>135</v>
      </c>
      <c r="E172">
        <v>36.6</v>
      </c>
      <c r="F172">
        <v>135.555555555555</v>
      </c>
    </row>
    <row r="173" spans="1:6">
      <c r="A173" t="s">
        <v>172</v>
      </c>
      <c r="B173">
        <v>182</v>
      </c>
      <c r="C173">
        <v>14</v>
      </c>
      <c r="D173">
        <v>110</v>
      </c>
      <c r="E173">
        <v>13</v>
      </c>
      <c r="F173">
        <v>165.45454545454501</v>
      </c>
    </row>
    <row r="174" spans="1:6">
      <c r="A174" t="s">
        <v>173</v>
      </c>
      <c r="B174">
        <v>181</v>
      </c>
      <c r="C174">
        <v>6</v>
      </c>
      <c r="D174">
        <v>142</v>
      </c>
      <c r="E174">
        <v>30.1666666666666</v>
      </c>
      <c r="F174">
        <v>127.464788732394</v>
      </c>
    </row>
    <row r="175" spans="1:6">
      <c r="A175" t="s">
        <v>174</v>
      </c>
      <c r="B175">
        <v>179</v>
      </c>
      <c r="C175">
        <v>8</v>
      </c>
      <c r="D175">
        <v>152</v>
      </c>
      <c r="E175">
        <v>22.375</v>
      </c>
      <c r="F175">
        <v>117.763157894736</v>
      </c>
    </row>
    <row r="176" spans="1:6">
      <c r="A176" t="s">
        <v>175</v>
      </c>
      <c r="B176">
        <v>178</v>
      </c>
      <c r="C176">
        <v>9</v>
      </c>
      <c r="D176">
        <v>141</v>
      </c>
      <c r="E176">
        <v>19.7777777777777</v>
      </c>
      <c r="F176">
        <v>126.241134751773</v>
      </c>
    </row>
    <row r="177" spans="1:6">
      <c r="A177" t="s">
        <v>176</v>
      </c>
      <c r="B177">
        <v>177</v>
      </c>
      <c r="C177">
        <v>10</v>
      </c>
      <c r="D177">
        <v>122</v>
      </c>
      <c r="E177">
        <v>17.7</v>
      </c>
      <c r="F177">
        <v>145.08196721311401</v>
      </c>
    </row>
    <row r="178" spans="1:6">
      <c r="A178" t="s">
        <v>177</v>
      </c>
      <c r="B178">
        <v>170</v>
      </c>
      <c r="C178">
        <v>9</v>
      </c>
      <c r="D178">
        <v>135</v>
      </c>
      <c r="E178">
        <v>18.8888888888888</v>
      </c>
      <c r="F178">
        <v>125.925925925925</v>
      </c>
    </row>
    <row r="179" spans="1:6">
      <c r="A179" t="s">
        <v>178</v>
      </c>
      <c r="B179">
        <v>170</v>
      </c>
      <c r="C179">
        <v>6</v>
      </c>
      <c r="D179">
        <v>106</v>
      </c>
      <c r="E179">
        <v>28.3333333333333</v>
      </c>
      <c r="F179">
        <v>160.377358490566</v>
      </c>
    </row>
    <row r="180" spans="1:6">
      <c r="A180" t="s">
        <v>179</v>
      </c>
      <c r="B180">
        <v>169</v>
      </c>
      <c r="C180">
        <v>9</v>
      </c>
      <c r="D180">
        <v>148</v>
      </c>
      <c r="E180">
        <v>18.7777777777777</v>
      </c>
      <c r="F180">
        <v>114.18918918918899</v>
      </c>
    </row>
    <row r="181" spans="1:6">
      <c r="A181" t="s">
        <v>180</v>
      </c>
      <c r="B181">
        <v>168</v>
      </c>
      <c r="C181">
        <v>14</v>
      </c>
      <c r="D181">
        <v>161</v>
      </c>
      <c r="E181">
        <v>12</v>
      </c>
      <c r="F181">
        <v>104.347826086956</v>
      </c>
    </row>
    <row r="182" spans="1:6">
      <c r="A182" t="s">
        <v>181</v>
      </c>
      <c r="B182">
        <v>167</v>
      </c>
      <c r="C182">
        <v>3</v>
      </c>
      <c r="D182">
        <v>132</v>
      </c>
      <c r="E182">
        <v>55.6666666666666</v>
      </c>
      <c r="F182">
        <v>126.515151515151</v>
      </c>
    </row>
    <row r="183" spans="1:6">
      <c r="A183" t="s">
        <v>182</v>
      </c>
      <c r="B183">
        <v>166</v>
      </c>
      <c r="C183">
        <v>22</v>
      </c>
      <c r="D183">
        <v>157</v>
      </c>
      <c r="E183">
        <v>7.5454545454545396</v>
      </c>
      <c r="F183">
        <v>105.732484076433</v>
      </c>
    </row>
    <row r="184" spans="1:6">
      <c r="A184" t="s">
        <v>183</v>
      </c>
      <c r="B184">
        <v>164</v>
      </c>
      <c r="C184">
        <v>10</v>
      </c>
      <c r="D184">
        <v>160</v>
      </c>
      <c r="E184">
        <v>16.399999999999999</v>
      </c>
      <c r="F184">
        <v>102.49999999999901</v>
      </c>
    </row>
    <row r="185" spans="1:6">
      <c r="A185" t="s">
        <v>184</v>
      </c>
      <c r="B185">
        <v>161</v>
      </c>
      <c r="C185">
        <v>4</v>
      </c>
      <c r="D185">
        <v>126</v>
      </c>
      <c r="E185">
        <v>40.25</v>
      </c>
      <c r="F185">
        <v>127.777777777777</v>
      </c>
    </row>
    <row r="186" spans="1:6">
      <c r="A186" t="s">
        <v>185</v>
      </c>
      <c r="B186">
        <v>161</v>
      </c>
      <c r="C186">
        <v>12</v>
      </c>
      <c r="D186">
        <v>171</v>
      </c>
      <c r="E186">
        <v>13.4166666666666</v>
      </c>
      <c r="F186">
        <v>94.152046783625707</v>
      </c>
    </row>
    <row r="187" spans="1:6">
      <c r="A187" t="s">
        <v>186</v>
      </c>
      <c r="B187">
        <v>160</v>
      </c>
      <c r="C187">
        <v>10</v>
      </c>
      <c r="D187">
        <v>108</v>
      </c>
      <c r="E187">
        <v>16</v>
      </c>
      <c r="F187">
        <v>148.14814814814801</v>
      </c>
    </row>
    <row r="188" spans="1:6">
      <c r="A188" t="s">
        <v>187</v>
      </c>
      <c r="B188">
        <v>159</v>
      </c>
      <c r="C188">
        <v>11</v>
      </c>
      <c r="D188">
        <v>141</v>
      </c>
      <c r="E188">
        <v>14.4545454545454</v>
      </c>
      <c r="F188">
        <v>112.765957446808</v>
      </c>
    </row>
    <row r="189" spans="1:6">
      <c r="A189" t="s">
        <v>188</v>
      </c>
      <c r="B189">
        <v>159</v>
      </c>
      <c r="C189">
        <v>8</v>
      </c>
      <c r="D189">
        <v>169</v>
      </c>
      <c r="E189">
        <v>19.875</v>
      </c>
      <c r="F189">
        <v>94.082840236686394</v>
      </c>
    </row>
    <row r="190" spans="1:6">
      <c r="A190" t="s">
        <v>189</v>
      </c>
      <c r="B190">
        <v>153</v>
      </c>
      <c r="C190">
        <v>7</v>
      </c>
      <c r="D190">
        <v>135</v>
      </c>
      <c r="E190">
        <v>21.857142857142801</v>
      </c>
      <c r="F190">
        <v>113.333333333333</v>
      </c>
    </row>
    <row r="191" spans="1:6">
      <c r="A191" t="s">
        <v>190</v>
      </c>
      <c r="B191">
        <v>150</v>
      </c>
      <c r="C191">
        <v>6</v>
      </c>
      <c r="D191">
        <v>118</v>
      </c>
      <c r="E191">
        <v>25</v>
      </c>
      <c r="F191">
        <v>127.118644067796</v>
      </c>
    </row>
    <row r="192" spans="1:6">
      <c r="A192" t="s">
        <v>191</v>
      </c>
      <c r="B192">
        <v>147</v>
      </c>
      <c r="C192">
        <v>8</v>
      </c>
      <c r="D192">
        <v>111</v>
      </c>
      <c r="E192">
        <v>18.375</v>
      </c>
      <c r="F192">
        <v>132.43243243243199</v>
      </c>
    </row>
    <row r="193" spans="1:6">
      <c r="A193" t="s">
        <v>192</v>
      </c>
      <c r="B193">
        <v>145</v>
      </c>
      <c r="C193">
        <v>8</v>
      </c>
      <c r="D193">
        <v>108</v>
      </c>
      <c r="E193">
        <v>18.125</v>
      </c>
      <c r="F193">
        <v>134.25925925925901</v>
      </c>
    </row>
    <row r="194" spans="1:6">
      <c r="A194" t="s">
        <v>193</v>
      </c>
      <c r="B194">
        <v>145</v>
      </c>
      <c r="C194">
        <v>12</v>
      </c>
      <c r="D194">
        <v>83</v>
      </c>
      <c r="E194">
        <v>12.0833333333333</v>
      </c>
      <c r="F194">
        <v>174.69879518072199</v>
      </c>
    </row>
    <row r="195" spans="1:6">
      <c r="A195" t="s">
        <v>194</v>
      </c>
      <c r="B195">
        <v>142</v>
      </c>
      <c r="C195">
        <v>8</v>
      </c>
      <c r="D195">
        <v>91</v>
      </c>
      <c r="E195">
        <v>17.75</v>
      </c>
      <c r="F195">
        <v>156.043956043956</v>
      </c>
    </row>
    <row r="196" spans="1:6">
      <c r="A196" t="s">
        <v>195</v>
      </c>
      <c r="B196">
        <v>142</v>
      </c>
      <c r="C196">
        <v>12</v>
      </c>
      <c r="D196">
        <v>144</v>
      </c>
      <c r="E196">
        <v>11.8333333333333</v>
      </c>
      <c r="F196">
        <v>98.6111111111111</v>
      </c>
    </row>
    <row r="197" spans="1:6">
      <c r="A197" t="s">
        <v>196</v>
      </c>
      <c r="B197">
        <v>137</v>
      </c>
      <c r="C197">
        <v>9</v>
      </c>
      <c r="D197">
        <v>101</v>
      </c>
      <c r="E197">
        <v>15.2222222222222</v>
      </c>
      <c r="F197">
        <v>135.64356435643501</v>
      </c>
    </row>
    <row r="198" spans="1:6">
      <c r="A198" t="s">
        <v>197</v>
      </c>
      <c r="B198">
        <v>136</v>
      </c>
      <c r="C198">
        <v>8</v>
      </c>
      <c r="D198">
        <v>110</v>
      </c>
      <c r="E198">
        <v>17</v>
      </c>
      <c r="F198">
        <v>123.636363636363</v>
      </c>
    </row>
    <row r="199" spans="1:6">
      <c r="A199" t="s">
        <v>198</v>
      </c>
      <c r="B199">
        <v>131</v>
      </c>
      <c r="C199">
        <v>7</v>
      </c>
      <c r="D199">
        <v>133</v>
      </c>
      <c r="E199">
        <v>18.714285714285701</v>
      </c>
      <c r="F199">
        <v>98.4962406015037</v>
      </c>
    </row>
    <row r="200" spans="1:6">
      <c r="A200" t="s">
        <v>199</v>
      </c>
      <c r="B200">
        <v>130</v>
      </c>
      <c r="C200">
        <v>7</v>
      </c>
      <c r="D200">
        <v>121</v>
      </c>
      <c r="E200">
        <v>18.571428571428498</v>
      </c>
      <c r="F200">
        <v>107.438016528925</v>
      </c>
    </row>
    <row r="201" spans="1:6">
      <c r="A201" t="s">
        <v>200</v>
      </c>
      <c r="B201">
        <v>129</v>
      </c>
      <c r="C201">
        <v>8</v>
      </c>
      <c r="D201">
        <v>118</v>
      </c>
      <c r="E201">
        <v>16.125</v>
      </c>
      <c r="F201">
        <v>109.32203389830499</v>
      </c>
    </row>
    <row r="202" spans="1:6">
      <c r="A202" t="s">
        <v>201</v>
      </c>
      <c r="B202">
        <v>128</v>
      </c>
      <c r="C202">
        <v>4</v>
      </c>
      <c r="D202">
        <v>78</v>
      </c>
      <c r="E202">
        <v>32</v>
      </c>
      <c r="F202">
        <v>164.102564102564</v>
      </c>
    </row>
    <row r="203" spans="1:6">
      <c r="A203" t="s">
        <v>202</v>
      </c>
      <c r="B203">
        <v>127</v>
      </c>
      <c r="C203">
        <v>5</v>
      </c>
      <c r="D203">
        <v>90</v>
      </c>
      <c r="E203">
        <v>25.4</v>
      </c>
      <c r="F203">
        <v>141.111111111111</v>
      </c>
    </row>
    <row r="204" spans="1:6">
      <c r="A204" t="s">
        <v>203</v>
      </c>
      <c r="B204">
        <v>127</v>
      </c>
      <c r="C204">
        <v>12</v>
      </c>
      <c r="D204">
        <v>138</v>
      </c>
      <c r="E204">
        <v>10.5833333333333</v>
      </c>
      <c r="F204">
        <v>92.028985507246304</v>
      </c>
    </row>
    <row r="205" spans="1:6">
      <c r="A205" t="s">
        <v>204</v>
      </c>
      <c r="B205">
        <v>127</v>
      </c>
      <c r="C205">
        <v>5</v>
      </c>
      <c r="D205">
        <v>100</v>
      </c>
      <c r="E205">
        <v>25.4</v>
      </c>
      <c r="F205">
        <v>127</v>
      </c>
    </row>
    <row r="206" spans="1:6">
      <c r="A206" t="s">
        <v>205</v>
      </c>
      <c r="B206">
        <v>126</v>
      </c>
      <c r="C206">
        <v>11</v>
      </c>
      <c r="D206">
        <v>90</v>
      </c>
      <c r="E206">
        <v>11.4545454545454</v>
      </c>
      <c r="F206">
        <v>140</v>
      </c>
    </row>
    <row r="207" spans="1:6">
      <c r="A207" t="s">
        <v>206</v>
      </c>
      <c r="B207">
        <v>125</v>
      </c>
      <c r="C207">
        <v>7</v>
      </c>
      <c r="D207">
        <v>127</v>
      </c>
      <c r="E207">
        <v>17.857142857142801</v>
      </c>
      <c r="F207">
        <v>98.425196850393704</v>
      </c>
    </row>
    <row r="208" spans="1:6">
      <c r="A208" t="s">
        <v>207</v>
      </c>
      <c r="B208">
        <v>125</v>
      </c>
      <c r="C208">
        <v>5</v>
      </c>
      <c r="D208">
        <v>113</v>
      </c>
      <c r="E208">
        <v>25</v>
      </c>
      <c r="F208">
        <v>110.619469026548</v>
      </c>
    </row>
    <row r="209" spans="1:6">
      <c r="A209" t="s">
        <v>208</v>
      </c>
      <c r="B209">
        <v>124</v>
      </c>
      <c r="C209">
        <v>10</v>
      </c>
      <c r="D209">
        <v>96</v>
      </c>
      <c r="E209">
        <v>12.4</v>
      </c>
      <c r="F209">
        <v>129.166666666666</v>
      </c>
    </row>
    <row r="210" spans="1:6">
      <c r="A210" t="s">
        <v>209</v>
      </c>
      <c r="B210">
        <v>123</v>
      </c>
      <c r="C210">
        <v>14</v>
      </c>
      <c r="D210">
        <v>117</v>
      </c>
      <c r="E210">
        <v>8.7857142857142794</v>
      </c>
      <c r="F210">
        <v>105.128205128205</v>
      </c>
    </row>
    <row r="211" spans="1:6">
      <c r="A211" t="s">
        <v>210</v>
      </c>
      <c r="B211">
        <v>123</v>
      </c>
      <c r="C211">
        <v>5</v>
      </c>
      <c r="D211">
        <v>99</v>
      </c>
      <c r="E211">
        <v>24.6</v>
      </c>
      <c r="F211">
        <v>124.24242424242399</v>
      </c>
    </row>
    <row r="212" spans="1:6">
      <c r="A212" t="s">
        <v>211</v>
      </c>
      <c r="B212">
        <v>122</v>
      </c>
      <c r="C212">
        <v>12</v>
      </c>
      <c r="D212">
        <v>124</v>
      </c>
      <c r="E212">
        <v>10.1666666666666</v>
      </c>
      <c r="F212">
        <v>98.387096774193495</v>
      </c>
    </row>
    <row r="213" spans="1:6">
      <c r="A213" t="s">
        <v>212</v>
      </c>
      <c r="B213">
        <v>121</v>
      </c>
      <c r="C213">
        <v>5</v>
      </c>
      <c r="D213">
        <v>118</v>
      </c>
      <c r="E213">
        <v>24.2</v>
      </c>
      <c r="F213">
        <v>102.54237288135501</v>
      </c>
    </row>
    <row r="214" spans="1:6">
      <c r="A214" t="s">
        <v>213</v>
      </c>
      <c r="B214">
        <v>121</v>
      </c>
      <c r="C214">
        <v>7</v>
      </c>
      <c r="D214">
        <v>109</v>
      </c>
      <c r="E214">
        <v>17.285714285714199</v>
      </c>
      <c r="F214">
        <v>111.009174311926</v>
      </c>
    </row>
    <row r="215" spans="1:6">
      <c r="A215" t="s">
        <v>214</v>
      </c>
      <c r="B215">
        <v>120</v>
      </c>
      <c r="C215">
        <v>7</v>
      </c>
      <c r="D215">
        <v>89</v>
      </c>
      <c r="E215">
        <v>17.1428571428571</v>
      </c>
      <c r="F215">
        <v>134.831460674157</v>
      </c>
    </row>
    <row r="216" spans="1:6">
      <c r="A216" t="s">
        <v>215</v>
      </c>
      <c r="B216">
        <v>117</v>
      </c>
      <c r="C216">
        <v>12</v>
      </c>
      <c r="D216">
        <v>111</v>
      </c>
      <c r="E216">
        <v>9.75</v>
      </c>
      <c r="F216">
        <v>105.40540540540501</v>
      </c>
    </row>
    <row r="217" spans="1:6">
      <c r="A217" t="s">
        <v>216</v>
      </c>
      <c r="B217">
        <v>117</v>
      </c>
      <c r="C217">
        <v>9</v>
      </c>
      <c r="D217">
        <v>81</v>
      </c>
      <c r="E217">
        <v>13</v>
      </c>
      <c r="F217">
        <v>144.444444444444</v>
      </c>
    </row>
    <row r="218" spans="1:6">
      <c r="A218" t="s">
        <v>217</v>
      </c>
      <c r="B218">
        <v>117</v>
      </c>
      <c r="C218">
        <v>15</v>
      </c>
      <c r="D218">
        <v>138</v>
      </c>
      <c r="E218">
        <v>7.8</v>
      </c>
      <c r="F218">
        <v>84.782608695652101</v>
      </c>
    </row>
    <row r="219" spans="1:6">
      <c r="A219" t="s">
        <v>218</v>
      </c>
      <c r="B219">
        <v>116</v>
      </c>
      <c r="C219">
        <v>7</v>
      </c>
      <c r="D219">
        <v>99</v>
      </c>
      <c r="E219">
        <v>16.571428571428498</v>
      </c>
      <c r="F219">
        <v>117.17171717171701</v>
      </c>
    </row>
    <row r="220" spans="1:6">
      <c r="A220" t="s">
        <v>219</v>
      </c>
      <c r="B220">
        <v>116</v>
      </c>
      <c r="C220">
        <v>9</v>
      </c>
      <c r="D220">
        <v>68</v>
      </c>
      <c r="E220">
        <v>12.8888888888888</v>
      </c>
      <c r="F220">
        <v>170.588235294117</v>
      </c>
    </row>
    <row r="221" spans="1:6">
      <c r="A221" t="s">
        <v>220</v>
      </c>
      <c r="B221">
        <v>115</v>
      </c>
      <c r="C221">
        <v>6</v>
      </c>
      <c r="D221">
        <v>90</v>
      </c>
      <c r="E221">
        <v>19.1666666666666</v>
      </c>
      <c r="F221">
        <v>127.777777777777</v>
      </c>
    </row>
    <row r="222" spans="1:6">
      <c r="A222" t="s">
        <v>221</v>
      </c>
      <c r="B222">
        <v>115</v>
      </c>
      <c r="C222">
        <v>7</v>
      </c>
      <c r="D222">
        <v>89</v>
      </c>
      <c r="E222">
        <v>16.428571428571399</v>
      </c>
      <c r="F222">
        <v>129.21348314606701</v>
      </c>
    </row>
    <row r="223" spans="1:6">
      <c r="A223" t="s">
        <v>222</v>
      </c>
      <c r="B223">
        <v>113</v>
      </c>
      <c r="C223">
        <v>7</v>
      </c>
      <c r="D223">
        <v>108</v>
      </c>
      <c r="E223">
        <v>16.1428571428571</v>
      </c>
      <c r="F223">
        <v>104.62962962962899</v>
      </c>
    </row>
    <row r="224" spans="1:6">
      <c r="A224" t="s">
        <v>223</v>
      </c>
      <c r="B224">
        <v>111</v>
      </c>
      <c r="C224">
        <v>3</v>
      </c>
      <c r="D224">
        <v>101</v>
      </c>
      <c r="E224">
        <v>37</v>
      </c>
      <c r="F224">
        <v>109.90099009900899</v>
      </c>
    </row>
    <row r="225" spans="1:6">
      <c r="A225" t="s">
        <v>224</v>
      </c>
      <c r="B225">
        <v>107</v>
      </c>
      <c r="C225">
        <v>8</v>
      </c>
      <c r="D225">
        <v>68</v>
      </c>
      <c r="E225">
        <v>13.375</v>
      </c>
      <c r="F225">
        <v>157.35294117647001</v>
      </c>
    </row>
    <row r="226" spans="1:6">
      <c r="A226" t="s">
        <v>225</v>
      </c>
      <c r="B226">
        <v>106</v>
      </c>
      <c r="C226">
        <v>8</v>
      </c>
      <c r="D226">
        <v>108</v>
      </c>
      <c r="E226">
        <v>13.25</v>
      </c>
      <c r="F226">
        <v>98.148148148148096</v>
      </c>
    </row>
    <row r="227" spans="1:6">
      <c r="A227" t="s">
        <v>226</v>
      </c>
      <c r="B227">
        <v>106</v>
      </c>
      <c r="C227">
        <v>4</v>
      </c>
      <c r="D227">
        <v>60</v>
      </c>
      <c r="E227">
        <v>26.5</v>
      </c>
      <c r="F227">
        <v>176.666666666666</v>
      </c>
    </row>
    <row r="228" spans="1:6">
      <c r="A228" t="s">
        <v>227</v>
      </c>
      <c r="B228">
        <v>105</v>
      </c>
      <c r="C228">
        <v>12</v>
      </c>
      <c r="D228">
        <v>63</v>
      </c>
      <c r="E228">
        <v>8.75</v>
      </c>
      <c r="F228">
        <v>166.666666666666</v>
      </c>
    </row>
    <row r="229" spans="1:6">
      <c r="A229" t="s">
        <v>228</v>
      </c>
      <c r="B229">
        <v>103</v>
      </c>
      <c r="C229">
        <v>7</v>
      </c>
      <c r="D229">
        <v>102</v>
      </c>
      <c r="E229">
        <v>14.714285714285699</v>
      </c>
      <c r="F229">
        <v>100.980392156862</v>
      </c>
    </row>
    <row r="230" spans="1:6">
      <c r="A230" t="s">
        <v>229</v>
      </c>
      <c r="B230">
        <v>101</v>
      </c>
      <c r="C230">
        <v>9</v>
      </c>
      <c r="D230">
        <v>106</v>
      </c>
      <c r="E230">
        <v>11.2222222222222</v>
      </c>
      <c r="F230">
        <v>95.283018867924497</v>
      </c>
    </row>
    <row r="231" spans="1:6">
      <c r="A231" t="s">
        <v>230</v>
      </c>
      <c r="B231">
        <v>99</v>
      </c>
      <c r="C231">
        <v>9</v>
      </c>
      <c r="D231">
        <v>70</v>
      </c>
      <c r="E231">
        <v>11</v>
      </c>
      <c r="F231">
        <v>141.42857142857099</v>
      </c>
    </row>
    <row r="232" spans="1:6">
      <c r="A232" t="s">
        <v>231</v>
      </c>
      <c r="B232">
        <v>99</v>
      </c>
      <c r="C232">
        <v>7</v>
      </c>
      <c r="D232">
        <v>89</v>
      </c>
      <c r="E232">
        <v>14.1428571428571</v>
      </c>
      <c r="F232">
        <v>111.23595505617899</v>
      </c>
    </row>
    <row r="233" spans="1:6">
      <c r="A233" t="s">
        <v>232</v>
      </c>
      <c r="B233">
        <v>98</v>
      </c>
      <c r="C233">
        <v>5</v>
      </c>
      <c r="D233">
        <v>94</v>
      </c>
      <c r="E233">
        <v>19.600000000000001</v>
      </c>
      <c r="F233">
        <v>104.255319148936</v>
      </c>
    </row>
    <row r="234" spans="1:6">
      <c r="A234" t="s">
        <v>233</v>
      </c>
      <c r="B234">
        <v>98</v>
      </c>
      <c r="C234">
        <v>6</v>
      </c>
      <c r="D234">
        <v>116</v>
      </c>
      <c r="E234">
        <v>16.3333333333333</v>
      </c>
      <c r="F234">
        <v>84.482758620689594</v>
      </c>
    </row>
    <row r="235" spans="1:6">
      <c r="A235" t="s">
        <v>234</v>
      </c>
      <c r="B235">
        <v>96</v>
      </c>
      <c r="C235">
        <v>6</v>
      </c>
      <c r="D235">
        <v>98</v>
      </c>
      <c r="E235">
        <v>16</v>
      </c>
      <c r="F235">
        <v>97.959183673469298</v>
      </c>
    </row>
    <row r="236" spans="1:6">
      <c r="A236" t="s">
        <v>235</v>
      </c>
      <c r="B236">
        <v>95</v>
      </c>
      <c r="C236">
        <v>4</v>
      </c>
      <c r="D236">
        <v>55</v>
      </c>
      <c r="E236">
        <v>23.75</v>
      </c>
      <c r="F236">
        <v>172.72727272727201</v>
      </c>
    </row>
    <row r="237" spans="1:6">
      <c r="A237" t="s">
        <v>236</v>
      </c>
      <c r="B237">
        <v>92</v>
      </c>
      <c r="C237">
        <v>7</v>
      </c>
      <c r="D237">
        <v>70</v>
      </c>
      <c r="E237">
        <v>13.1428571428571</v>
      </c>
      <c r="F237">
        <v>131.42857142857099</v>
      </c>
    </row>
    <row r="238" spans="1:6">
      <c r="A238" t="s">
        <v>237</v>
      </c>
      <c r="B238">
        <v>92</v>
      </c>
      <c r="C238">
        <v>8</v>
      </c>
      <c r="D238">
        <v>91</v>
      </c>
      <c r="E238">
        <v>11.5</v>
      </c>
      <c r="F238">
        <v>101.098901098901</v>
      </c>
    </row>
    <row r="239" spans="1:6">
      <c r="A239" t="s">
        <v>238</v>
      </c>
      <c r="B239">
        <v>92</v>
      </c>
      <c r="C239">
        <v>7</v>
      </c>
      <c r="D239">
        <v>97</v>
      </c>
      <c r="E239">
        <v>13.1428571428571</v>
      </c>
      <c r="F239">
        <v>94.845360824742201</v>
      </c>
    </row>
    <row r="240" spans="1:6">
      <c r="A240" t="s">
        <v>239</v>
      </c>
      <c r="B240">
        <v>91</v>
      </c>
      <c r="C240">
        <v>5</v>
      </c>
      <c r="D240">
        <v>81</v>
      </c>
      <c r="E240">
        <v>18.2</v>
      </c>
      <c r="F240">
        <v>112.345679012345</v>
      </c>
    </row>
    <row r="241" spans="1:6">
      <c r="A241" t="s">
        <v>240</v>
      </c>
      <c r="B241">
        <v>91</v>
      </c>
      <c r="C241">
        <v>8</v>
      </c>
      <c r="D241">
        <v>127</v>
      </c>
      <c r="E241">
        <v>11.375</v>
      </c>
      <c r="F241">
        <v>71.653543307086593</v>
      </c>
    </row>
    <row r="242" spans="1:6">
      <c r="A242" t="s">
        <v>241</v>
      </c>
      <c r="B242">
        <v>90</v>
      </c>
      <c r="C242">
        <v>10</v>
      </c>
      <c r="D242">
        <v>98</v>
      </c>
      <c r="E242">
        <v>9</v>
      </c>
      <c r="F242">
        <v>91.836734693877503</v>
      </c>
    </row>
    <row r="243" spans="1:6">
      <c r="A243" t="s">
        <v>242</v>
      </c>
      <c r="B243">
        <v>90</v>
      </c>
      <c r="C243">
        <v>5</v>
      </c>
      <c r="D243">
        <v>73</v>
      </c>
      <c r="E243">
        <v>18</v>
      </c>
      <c r="F243">
        <v>123.28767123287599</v>
      </c>
    </row>
    <row r="244" spans="1:6">
      <c r="A244" t="s">
        <v>243</v>
      </c>
      <c r="B244">
        <v>88</v>
      </c>
      <c r="C244">
        <v>11</v>
      </c>
      <c r="D244">
        <v>70</v>
      </c>
      <c r="E244">
        <v>8</v>
      </c>
      <c r="F244">
        <v>125.714285714285</v>
      </c>
    </row>
    <row r="245" spans="1:6">
      <c r="A245" t="s">
        <v>244</v>
      </c>
      <c r="B245">
        <v>88</v>
      </c>
      <c r="C245">
        <v>1</v>
      </c>
      <c r="D245">
        <v>83</v>
      </c>
      <c r="E245">
        <v>88</v>
      </c>
      <c r="F245">
        <v>106.02409638554199</v>
      </c>
    </row>
    <row r="246" spans="1:6">
      <c r="A246" t="s">
        <v>245</v>
      </c>
      <c r="B246">
        <v>88</v>
      </c>
      <c r="C246">
        <v>12</v>
      </c>
      <c r="D246">
        <v>99</v>
      </c>
      <c r="E246">
        <v>7.3333333333333304</v>
      </c>
      <c r="F246">
        <v>88.8888888888888</v>
      </c>
    </row>
    <row r="247" spans="1:6">
      <c r="A247" t="s">
        <v>246</v>
      </c>
      <c r="B247">
        <v>87</v>
      </c>
      <c r="C247">
        <v>4</v>
      </c>
      <c r="D247">
        <v>76</v>
      </c>
      <c r="E247">
        <v>21.75</v>
      </c>
      <c r="F247">
        <v>114.473684210526</v>
      </c>
    </row>
    <row r="248" spans="1:6">
      <c r="A248" t="s">
        <v>247</v>
      </c>
      <c r="B248">
        <v>84</v>
      </c>
      <c r="C248">
        <v>7</v>
      </c>
      <c r="D248">
        <v>61</v>
      </c>
      <c r="E248">
        <v>12</v>
      </c>
      <c r="F248">
        <v>137.704918032786</v>
      </c>
    </row>
    <row r="249" spans="1:6">
      <c r="A249" t="s">
        <v>248</v>
      </c>
      <c r="B249">
        <v>83</v>
      </c>
      <c r="C249">
        <v>6</v>
      </c>
      <c r="D249">
        <v>73</v>
      </c>
      <c r="E249">
        <v>13.8333333333333</v>
      </c>
      <c r="F249">
        <v>113.698630136986</v>
      </c>
    </row>
    <row r="250" spans="1:6">
      <c r="A250" t="s">
        <v>249</v>
      </c>
      <c r="B250">
        <v>81</v>
      </c>
      <c r="C250">
        <v>3</v>
      </c>
      <c r="D250">
        <v>68</v>
      </c>
      <c r="E250">
        <v>27</v>
      </c>
      <c r="F250">
        <v>119.117647058823</v>
      </c>
    </row>
    <row r="251" spans="1:6">
      <c r="A251" t="s">
        <v>250</v>
      </c>
      <c r="B251">
        <v>81</v>
      </c>
      <c r="C251">
        <v>7</v>
      </c>
      <c r="D251">
        <v>73</v>
      </c>
      <c r="E251">
        <v>11.5714285714285</v>
      </c>
      <c r="F251">
        <v>110.958904109589</v>
      </c>
    </row>
    <row r="252" spans="1:6">
      <c r="A252" t="s">
        <v>251</v>
      </c>
      <c r="B252">
        <v>81</v>
      </c>
      <c r="C252">
        <v>8</v>
      </c>
      <c r="D252">
        <v>46</v>
      </c>
      <c r="E252">
        <v>10.125</v>
      </c>
      <c r="F252">
        <v>176.08695652173901</v>
      </c>
    </row>
    <row r="253" spans="1:6">
      <c r="A253" t="s">
        <v>252</v>
      </c>
      <c r="B253">
        <v>79</v>
      </c>
      <c r="C253">
        <v>10</v>
      </c>
      <c r="D253">
        <v>78</v>
      </c>
      <c r="E253">
        <v>7.9</v>
      </c>
      <c r="F253">
        <v>101.282051282051</v>
      </c>
    </row>
    <row r="254" spans="1:6">
      <c r="A254" t="s">
        <v>253</v>
      </c>
      <c r="B254">
        <v>77</v>
      </c>
      <c r="C254">
        <v>6</v>
      </c>
      <c r="D254">
        <v>55</v>
      </c>
      <c r="E254">
        <v>12.8333333333333</v>
      </c>
      <c r="F254">
        <v>140</v>
      </c>
    </row>
    <row r="255" spans="1:6">
      <c r="A255" t="s">
        <v>254</v>
      </c>
      <c r="B255">
        <v>77</v>
      </c>
      <c r="C255">
        <v>5</v>
      </c>
      <c r="D255">
        <v>53</v>
      </c>
      <c r="E255">
        <v>15.4</v>
      </c>
      <c r="F255">
        <v>145.283018867924</v>
      </c>
    </row>
    <row r="256" spans="1:6">
      <c r="A256" t="s">
        <v>255</v>
      </c>
      <c r="B256">
        <v>76</v>
      </c>
      <c r="C256">
        <v>7</v>
      </c>
      <c r="D256">
        <v>55</v>
      </c>
      <c r="E256">
        <v>10.857142857142801</v>
      </c>
      <c r="F256">
        <v>138.18181818181799</v>
      </c>
    </row>
    <row r="257" spans="1:6">
      <c r="A257" t="s">
        <v>256</v>
      </c>
      <c r="B257">
        <v>76</v>
      </c>
      <c r="C257">
        <v>5</v>
      </c>
      <c r="D257">
        <v>97</v>
      </c>
      <c r="E257">
        <v>15.2</v>
      </c>
      <c r="F257">
        <v>78.350515463917503</v>
      </c>
    </row>
    <row r="258" spans="1:6">
      <c r="A258" t="s">
        <v>257</v>
      </c>
      <c r="B258">
        <v>75</v>
      </c>
      <c r="C258">
        <v>5</v>
      </c>
      <c r="D258">
        <v>58</v>
      </c>
      <c r="E258">
        <v>15</v>
      </c>
      <c r="F258">
        <v>129.31034482758599</v>
      </c>
    </row>
    <row r="259" spans="1:6">
      <c r="A259" t="s">
        <v>258</v>
      </c>
      <c r="B259">
        <v>75</v>
      </c>
      <c r="C259">
        <v>6</v>
      </c>
      <c r="D259">
        <v>50</v>
      </c>
      <c r="E259">
        <v>12.5</v>
      </c>
      <c r="F259">
        <v>150</v>
      </c>
    </row>
    <row r="260" spans="1:6">
      <c r="A260" t="s">
        <v>259</v>
      </c>
      <c r="B260">
        <v>73</v>
      </c>
      <c r="C260">
        <v>4</v>
      </c>
      <c r="D260">
        <v>77</v>
      </c>
      <c r="E260">
        <v>18.25</v>
      </c>
      <c r="F260">
        <v>94.805194805194802</v>
      </c>
    </row>
    <row r="261" spans="1:6">
      <c r="A261" t="s">
        <v>260</v>
      </c>
      <c r="B261">
        <v>73</v>
      </c>
      <c r="C261">
        <v>3</v>
      </c>
      <c r="D261">
        <v>75</v>
      </c>
      <c r="E261">
        <v>24.3333333333333</v>
      </c>
      <c r="F261">
        <v>97.3333333333333</v>
      </c>
    </row>
    <row r="262" spans="1:6">
      <c r="A262" t="s">
        <v>261</v>
      </c>
      <c r="B262">
        <v>71</v>
      </c>
      <c r="C262">
        <v>3</v>
      </c>
      <c r="D262">
        <v>47</v>
      </c>
      <c r="E262">
        <v>23.6666666666666</v>
      </c>
      <c r="F262">
        <v>151.063829787234</v>
      </c>
    </row>
    <row r="263" spans="1:6">
      <c r="A263" t="s">
        <v>262</v>
      </c>
      <c r="B263">
        <v>71</v>
      </c>
      <c r="C263">
        <v>6</v>
      </c>
      <c r="D263">
        <v>44</v>
      </c>
      <c r="E263">
        <v>11.8333333333333</v>
      </c>
      <c r="F263">
        <v>161.363636363636</v>
      </c>
    </row>
    <row r="264" spans="1:6">
      <c r="A264" t="s">
        <v>263</v>
      </c>
      <c r="B264">
        <v>70</v>
      </c>
      <c r="C264">
        <v>6</v>
      </c>
      <c r="D264">
        <v>78</v>
      </c>
      <c r="E264">
        <v>11.6666666666666</v>
      </c>
      <c r="F264">
        <v>89.743589743589695</v>
      </c>
    </row>
    <row r="265" spans="1:6">
      <c r="A265" t="s">
        <v>264</v>
      </c>
      <c r="B265">
        <v>69</v>
      </c>
      <c r="C265">
        <v>5</v>
      </c>
      <c r="D265">
        <v>85</v>
      </c>
      <c r="E265">
        <v>13.8</v>
      </c>
      <c r="F265">
        <v>81.176470588235205</v>
      </c>
    </row>
    <row r="266" spans="1:6">
      <c r="A266" t="s">
        <v>265</v>
      </c>
      <c r="B266">
        <v>67</v>
      </c>
      <c r="C266">
        <v>5</v>
      </c>
      <c r="D266">
        <v>57</v>
      </c>
      <c r="E266">
        <v>13.4</v>
      </c>
      <c r="F266">
        <v>117.543859649122</v>
      </c>
    </row>
    <row r="267" spans="1:6">
      <c r="A267" t="s">
        <v>266</v>
      </c>
      <c r="B267">
        <v>67</v>
      </c>
      <c r="C267">
        <v>3</v>
      </c>
      <c r="D267">
        <v>63</v>
      </c>
      <c r="E267">
        <v>22.3333333333333</v>
      </c>
      <c r="F267">
        <v>106.349206349206</v>
      </c>
    </row>
    <row r="268" spans="1:6">
      <c r="A268" t="s">
        <v>267</v>
      </c>
      <c r="B268">
        <v>66</v>
      </c>
      <c r="C268">
        <v>6</v>
      </c>
      <c r="D268">
        <v>65</v>
      </c>
      <c r="E268">
        <v>11</v>
      </c>
      <c r="F268">
        <v>101.53846153846099</v>
      </c>
    </row>
    <row r="269" spans="1:6">
      <c r="A269" t="s">
        <v>268</v>
      </c>
      <c r="B269">
        <v>66</v>
      </c>
      <c r="C269">
        <v>11</v>
      </c>
      <c r="D269">
        <v>75</v>
      </c>
      <c r="E269">
        <v>6</v>
      </c>
      <c r="F269">
        <v>88</v>
      </c>
    </row>
    <row r="270" spans="1:6">
      <c r="A270" t="s">
        <v>269</v>
      </c>
      <c r="B270">
        <v>64</v>
      </c>
      <c r="C270">
        <v>8</v>
      </c>
      <c r="D270">
        <v>82</v>
      </c>
      <c r="E270">
        <v>8</v>
      </c>
      <c r="F270">
        <v>78.048780487804805</v>
      </c>
    </row>
    <row r="271" spans="1:6">
      <c r="A271" t="s">
        <v>270</v>
      </c>
      <c r="B271">
        <v>63</v>
      </c>
      <c r="C271">
        <v>5</v>
      </c>
      <c r="D271">
        <v>66</v>
      </c>
      <c r="E271">
        <v>12.6</v>
      </c>
      <c r="F271">
        <v>95.454545454545396</v>
      </c>
    </row>
    <row r="272" spans="1:6">
      <c r="A272" t="s">
        <v>271</v>
      </c>
      <c r="B272">
        <v>63</v>
      </c>
      <c r="C272">
        <v>9</v>
      </c>
      <c r="D272">
        <v>75</v>
      </c>
      <c r="E272">
        <v>7</v>
      </c>
      <c r="F272">
        <v>84</v>
      </c>
    </row>
    <row r="273" spans="1:6">
      <c r="A273" t="s">
        <v>272</v>
      </c>
      <c r="B273">
        <v>63</v>
      </c>
      <c r="C273">
        <v>4</v>
      </c>
      <c r="D273">
        <v>66</v>
      </c>
      <c r="E273">
        <v>15.75</v>
      </c>
      <c r="F273">
        <v>95.454545454545396</v>
      </c>
    </row>
    <row r="274" spans="1:6">
      <c r="A274" t="s">
        <v>273</v>
      </c>
      <c r="B274">
        <v>62</v>
      </c>
      <c r="C274">
        <v>2</v>
      </c>
      <c r="D274">
        <v>53</v>
      </c>
      <c r="E274">
        <v>31</v>
      </c>
      <c r="F274">
        <v>116.981132075471</v>
      </c>
    </row>
    <row r="275" spans="1:6">
      <c r="A275" t="s">
        <v>274</v>
      </c>
      <c r="B275">
        <v>59</v>
      </c>
      <c r="C275">
        <v>3</v>
      </c>
      <c r="D275">
        <v>56</v>
      </c>
      <c r="E275">
        <v>19.6666666666666</v>
      </c>
      <c r="F275">
        <v>105.35714285714199</v>
      </c>
    </row>
    <row r="276" spans="1:6">
      <c r="A276" t="s">
        <v>275</v>
      </c>
      <c r="B276">
        <v>56</v>
      </c>
      <c r="C276">
        <v>5</v>
      </c>
      <c r="D276">
        <v>73</v>
      </c>
      <c r="E276">
        <v>11.2</v>
      </c>
      <c r="F276">
        <v>76.712328767123196</v>
      </c>
    </row>
    <row r="277" spans="1:6">
      <c r="A277" t="s">
        <v>276</v>
      </c>
      <c r="B277">
        <v>55</v>
      </c>
      <c r="C277">
        <v>7</v>
      </c>
      <c r="D277">
        <v>53</v>
      </c>
      <c r="E277">
        <v>7.8571428571428497</v>
      </c>
      <c r="F277">
        <v>103.77358490566</v>
      </c>
    </row>
    <row r="278" spans="1:6">
      <c r="A278" t="s">
        <v>277</v>
      </c>
      <c r="B278">
        <v>55</v>
      </c>
      <c r="C278">
        <v>5</v>
      </c>
      <c r="D278">
        <v>69</v>
      </c>
      <c r="E278">
        <v>11</v>
      </c>
      <c r="F278">
        <v>79.710144927536206</v>
      </c>
    </row>
    <row r="279" spans="1:6">
      <c r="A279" t="s">
        <v>278</v>
      </c>
      <c r="B279">
        <v>55</v>
      </c>
      <c r="C279">
        <v>7</v>
      </c>
      <c r="D279">
        <v>61</v>
      </c>
      <c r="E279">
        <v>7.8571428571428497</v>
      </c>
      <c r="F279">
        <v>90.163934426229503</v>
      </c>
    </row>
    <row r="280" spans="1:6">
      <c r="A280" t="s">
        <v>279</v>
      </c>
      <c r="B280">
        <v>54</v>
      </c>
      <c r="C280">
        <v>2</v>
      </c>
      <c r="D280">
        <v>46</v>
      </c>
      <c r="E280">
        <v>27</v>
      </c>
      <c r="F280">
        <v>117.39130434782599</v>
      </c>
    </row>
    <row r="281" spans="1:6">
      <c r="A281" t="s">
        <v>280</v>
      </c>
      <c r="B281">
        <v>54</v>
      </c>
      <c r="C281">
        <v>9</v>
      </c>
      <c r="D281">
        <v>52</v>
      </c>
      <c r="E281">
        <v>6</v>
      </c>
      <c r="F281">
        <v>103.846153846153</v>
      </c>
    </row>
    <row r="282" spans="1:6">
      <c r="A282" t="s">
        <v>281</v>
      </c>
      <c r="B282">
        <v>53</v>
      </c>
      <c r="C282">
        <v>5</v>
      </c>
      <c r="D282">
        <v>71</v>
      </c>
      <c r="E282">
        <v>10.6</v>
      </c>
      <c r="F282">
        <v>74.647887323943607</v>
      </c>
    </row>
    <row r="283" spans="1:6">
      <c r="A283" t="s">
        <v>282</v>
      </c>
      <c r="B283">
        <v>53</v>
      </c>
      <c r="C283">
        <v>6</v>
      </c>
      <c r="D283">
        <v>51</v>
      </c>
      <c r="E283">
        <v>8.8333333333333304</v>
      </c>
      <c r="F283">
        <v>103.92156862745099</v>
      </c>
    </row>
    <row r="284" spans="1:6">
      <c r="A284" t="s">
        <v>283</v>
      </c>
      <c r="B284">
        <v>52</v>
      </c>
      <c r="C284">
        <v>15</v>
      </c>
      <c r="D284">
        <v>72</v>
      </c>
      <c r="E284">
        <v>3.4666666666666601</v>
      </c>
      <c r="F284">
        <v>72.2222222222222</v>
      </c>
    </row>
    <row r="285" spans="1:6">
      <c r="A285" t="s">
        <v>284</v>
      </c>
      <c r="B285">
        <v>52</v>
      </c>
      <c r="C285">
        <v>7</v>
      </c>
      <c r="D285">
        <v>50</v>
      </c>
      <c r="E285">
        <v>7.4285714285714199</v>
      </c>
      <c r="F285">
        <v>104</v>
      </c>
    </row>
    <row r="286" spans="1:6">
      <c r="A286" t="s">
        <v>285</v>
      </c>
      <c r="B286">
        <v>52</v>
      </c>
      <c r="C286">
        <v>4</v>
      </c>
      <c r="D286">
        <v>47</v>
      </c>
      <c r="E286">
        <v>13</v>
      </c>
      <c r="F286">
        <v>110.63829787234</v>
      </c>
    </row>
    <row r="287" spans="1:6">
      <c r="A287" t="s">
        <v>286</v>
      </c>
      <c r="B287">
        <v>51</v>
      </c>
      <c r="C287">
        <v>5</v>
      </c>
      <c r="D287">
        <v>50</v>
      </c>
      <c r="E287">
        <v>10.199999999999999</v>
      </c>
      <c r="F287">
        <v>102</v>
      </c>
    </row>
    <row r="288" spans="1:6">
      <c r="A288" t="s">
        <v>287</v>
      </c>
      <c r="B288">
        <v>51</v>
      </c>
      <c r="C288">
        <v>5</v>
      </c>
      <c r="D288">
        <v>49</v>
      </c>
      <c r="E288">
        <v>10.199999999999999</v>
      </c>
      <c r="F288">
        <v>104.08163265306101</v>
      </c>
    </row>
    <row r="289" spans="1:6">
      <c r="A289" t="s">
        <v>288</v>
      </c>
      <c r="B289">
        <v>50</v>
      </c>
      <c r="C289">
        <v>7</v>
      </c>
      <c r="D289">
        <v>50</v>
      </c>
      <c r="E289">
        <v>7.1428571428571397</v>
      </c>
      <c r="F289">
        <v>100</v>
      </c>
    </row>
    <row r="290" spans="1:6">
      <c r="A290" t="s">
        <v>289</v>
      </c>
      <c r="B290">
        <v>49</v>
      </c>
      <c r="C290">
        <v>6</v>
      </c>
      <c r="D290">
        <v>58</v>
      </c>
      <c r="E290">
        <v>8.1666666666666607</v>
      </c>
      <c r="F290">
        <v>84.482758620689594</v>
      </c>
    </row>
    <row r="291" spans="1:6">
      <c r="A291" t="s">
        <v>290</v>
      </c>
      <c r="B291">
        <v>49</v>
      </c>
      <c r="C291">
        <v>3</v>
      </c>
      <c r="D291">
        <v>62</v>
      </c>
      <c r="E291">
        <v>16.3333333333333</v>
      </c>
      <c r="F291">
        <v>79.0322580645161</v>
      </c>
    </row>
    <row r="292" spans="1:6">
      <c r="A292" t="s">
        <v>291</v>
      </c>
      <c r="B292">
        <v>49</v>
      </c>
      <c r="C292">
        <v>5</v>
      </c>
      <c r="D292">
        <v>57</v>
      </c>
      <c r="E292">
        <v>9.8000000000000007</v>
      </c>
      <c r="F292">
        <v>85.964912280701697</v>
      </c>
    </row>
    <row r="293" spans="1:6">
      <c r="A293" t="s">
        <v>292</v>
      </c>
      <c r="B293">
        <v>47</v>
      </c>
      <c r="C293">
        <v>4</v>
      </c>
      <c r="D293">
        <v>66</v>
      </c>
      <c r="E293">
        <v>11.75</v>
      </c>
      <c r="F293">
        <v>71.212121212121204</v>
      </c>
    </row>
    <row r="294" spans="1:6">
      <c r="A294" t="s">
        <v>293</v>
      </c>
      <c r="B294">
        <v>45</v>
      </c>
      <c r="C294">
        <v>4</v>
      </c>
      <c r="D294">
        <v>54</v>
      </c>
      <c r="E294">
        <v>11.25</v>
      </c>
      <c r="F294">
        <v>83.3333333333333</v>
      </c>
    </row>
    <row r="295" spans="1:6">
      <c r="A295" t="s">
        <v>294</v>
      </c>
      <c r="B295">
        <v>43</v>
      </c>
      <c r="C295">
        <v>4</v>
      </c>
      <c r="D295">
        <v>31</v>
      </c>
      <c r="E295">
        <v>10.75</v>
      </c>
      <c r="F295">
        <v>138.70967741935399</v>
      </c>
    </row>
    <row r="296" spans="1:6">
      <c r="A296" t="s">
        <v>295</v>
      </c>
      <c r="B296">
        <v>42</v>
      </c>
      <c r="C296">
        <v>2</v>
      </c>
      <c r="D296">
        <v>42</v>
      </c>
      <c r="E296">
        <v>21</v>
      </c>
      <c r="F296">
        <v>100</v>
      </c>
    </row>
    <row r="297" spans="1:6">
      <c r="A297" t="s">
        <v>296</v>
      </c>
      <c r="B297">
        <v>42</v>
      </c>
      <c r="C297">
        <v>8</v>
      </c>
      <c r="D297">
        <v>59</v>
      </c>
      <c r="E297">
        <v>5.25</v>
      </c>
      <c r="F297">
        <v>71.186440677966104</v>
      </c>
    </row>
    <row r="298" spans="1:6">
      <c r="A298" t="s">
        <v>297</v>
      </c>
      <c r="B298">
        <v>42</v>
      </c>
      <c r="C298">
        <v>3</v>
      </c>
      <c r="D298">
        <v>46</v>
      </c>
      <c r="E298">
        <v>14</v>
      </c>
      <c r="F298">
        <v>91.304347826086897</v>
      </c>
    </row>
    <row r="299" spans="1:6">
      <c r="A299" t="s">
        <v>298</v>
      </c>
      <c r="B299">
        <v>41</v>
      </c>
      <c r="C299">
        <v>8</v>
      </c>
      <c r="D299">
        <v>59</v>
      </c>
      <c r="E299">
        <v>5.125</v>
      </c>
      <c r="F299">
        <v>69.491525423728802</v>
      </c>
    </row>
    <row r="300" spans="1:6">
      <c r="A300" t="s">
        <v>299</v>
      </c>
      <c r="B300">
        <v>40</v>
      </c>
      <c r="C300">
        <v>2</v>
      </c>
      <c r="D300">
        <v>25</v>
      </c>
      <c r="E300">
        <v>20</v>
      </c>
      <c r="F300">
        <v>160</v>
      </c>
    </row>
    <row r="301" spans="1:6">
      <c r="A301" t="s">
        <v>300</v>
      </c>
      <c r="B301">
        <v>40</v>
      </c>
      <c r="C301">
        <v>4</v>
      </c>
      <c r="D301">
        <v>33</v>
      </c>
      <c r="E301">
        <v>10</v>
      </c>
      <c r="F301">
        <v>121.212121212121</v>
      </c>
    </row>
    <row r="302" spans="1:6">
      <c r="A302" t="s">
        <v>301</v>
      </c>
      <c r="B302">
        <v>40</v>
      </c>
      <c r="C302">
        <v>3</v>
      </c>
      <c r="D302">
        <v>35</v>
      </c>
      <c r="E302">
        <v>13.3333333333333</v>
      </c>
      <c r="F302">
        <v>114.28571428571399</v>
      </c>
    </row>
    <row r="303" spans="1:6">
      <c r="A303" t="s">
        <v>302</v>
      </c>
      <c r="B303">
        <v>39</v>
      </c>
      <c r="C303">
        <v>3</v>
      </c>
      <c r="D303">
        <v>19</v>
      </c>
      <c r="E303">
        <v>13</v>
      </c>
      <c r="F303">
        <v>205.263157894736</v>
      </c>
    </row>
    <row r="304" spans="1:6">
      <c r="A304" t="s">
        <v>303</v>
      </c>
      <c r="B304">
        <v>39</v>
      </c>
      <c r="C304">
        <v>5</v>
      </c>
      <c r="D304">
        <v>23</v>
      </c>
      <c r="E304">
        <v>7.8</v>
      </c>
      <c r="F304">
        <v>169.565217391304</v>
      </c>
    </row>
    <row r="305" spans="1:6">
      <c r="A305" t="s">
        <v>304</v>
      </c>
      <c r="B305">
        <v>39</v>
      </c>
      <c r="C305">
        <v>3</v>
      </c>
      <c r="D305">
        <v>52</v>
      </c>
      <c r="E305">
        <v>13</v>
      </c>
      <c r="F305">
        <v>75</v>
      </c>
    </row>
    <row r="306" spans="1:6">
      <c r="A306" t="s">
        <v>305</v>
      </c>
      <c r="B306">
        <v>39</v>
      </c>
      <c r="C306">
        <v>5</v>
      </c>
      <c r="D306">
        <v>41</v>
      </c>
      <c r="E306">
        <v>7.8</v>
      </c>
      <c r="F306">
        <v>95.121951219512198</v>
      </c>
    </row>
    <row r="307" spans="1:6">
      <c r="A307" t="s">
        <v>306</v>
      </c>
      <c r="B307">
        <v>38</v>
      </c>
      <c r="C307">
        <v>2</v>
      </c>
      <c r="D307">
        <v>31</v>
      </c>
      <c r="E307">
        <v>19</v>
      </c>
      <c r="F307">
        <v>122.58064516128999</v>
      </c>
    </row>
    <row r="308" spans="1:6">
      <c r="A308" t="s">
        <v>307</v>
      </c>
      <c r="B308">
        <v>38</v>
      </c>
      <c r="C308">
        <v>5</v>
      </c>
      <c r="D308">
        <v>31</v>
      </c>
      <c r="E308">
        <v>7.6</v>
      </c>
      <c r="F308">
        <v>122.58064516128999</v>
      </c>
    </row>
    <row r="309" spans="1:6">
      <c r="A309" t="s">
        <v>308</v>
      </c>
      <c r="B309">
        <v>37</v>
      </c>
      <c r="C309">
        <v>4</v>
      </c>
      <c r="D309">
        <v>46</v>
      </c>
      <c r="E309">
        <v>9.25</v>
      </c>
      <c r="F309">
        <v>80.434782608695599</v>
      </c>
    </row>
    <row r="310" spans="1:6">
      <c r="A310" t="s">
        <v>309</v>
      </c>
      <c r="B310">
        <v>37</v>
      </c>
      <c r="C310">
        <v>4</v>
      </c>
      <c r="D310">
        <v>27</v>
      </c>
      <c r="E310">
        <v>9.25</v>
      </c>
      <c r="F310">
        <v>137.03703703703701</v>
      </c>
    </row>
    <row r="311" spans="1:6">
      <c r="A311" t="s">
        <v>310</v>
      </c>
      <c r="B311">
        <v>37</v>
      </c>
      <c r="C311">
        <v>3</v>
      </c>
      <c r="D311">
        <v>38</v>
      </c>
      <c r="E311">
        <v>12.3333333333333</v>
      </c>
      <c r="F311">
        <v>97.368421052631504</v>
      </c>
    </row>
    <row r="312" spans="1:6">
      <c r="A312" t="s">
        <v>311</v>
      </c>
      <c r="B312">
        <v>36</v>
      </c>
      <c r="C312">
        <v>3</v>
      </c>
      <c r="D312">
        <v>29</v>
      </c>
      <c r="E312">
        <v>12</v>
      </c>
      <c r="F312">
        <v>124.13793103448199</v>
      </c>
    </row>
    <row r="313" spans="1:6">
      <c r="A313" t="s">
        <v>312</v>
      </c>
      <c r="B313">
        <v>36</v>
      </c>
      <c r="C313">
        <v>7</v>
      </c>
      <c r="D313">
        <v>47</v>
      </c>
      <c r="E313">
        <v>5.1428571428571397</v>
      </c>
      <c r="F313">
        <v>76.595744680850999</v>
      </c>
    </row>
    <row r="314" spans="1:6">
      <c r="A314" t="s">
        <v>313</v>
      </c>
      <c r="B314">
        <v>36</v>
      </c>
      <c r="C314">
        <v>3</v>
      </c>
      <c r="D314">
        <v>39</v>
      </c>
      <c r="E314">
        <v>12</v>
      </c>
      <c r="F314">
        <v>92.307692307692307</v>
      </c>
    </row>
    <row r="315" spans="1:6">
      <c r="A315" t="s">
        <v>314</v>
      </c>
      <c r="B315">
        <v>36</v>
      </c>
      <c r="C315">
        <v>4</v>
      </c>
      <c r="D315">
        <v>30</v>
      </c>
      <c r="E315">
        <v>9</v>
      </c>
      <c r="F315">
        <v>120</v>
      </c>
    </row>
    <row r="316" spans="1:6">
      <c r="A316" t="s">
        <v>315</v>
      </c>
      <c r="B316">
        <v>36</v>
      </c>
      <c r="C316">
        <v>1</v>
      </c>
      <c r="D316">
        <v>26</v>
      </c>
      <c r="E316">
        <v>36</v>
      </c>
      <c r="F316">
        <v>138.461538461538</v>
      </c>
    </row>
    <row r="317" spans="1:6">
      <c r="A317" t="s">
        <v>316</v>
      </c>
      <c r="B317">
        <v>36</v>
      </c>
      <c r="C317">
        <v>4</v>
      </c>
      <c r="D317">
        <v>21</v>
      </c>
      <c r="E317">
        <v>9</v>
      </c>
      <c r="F317">
        <v>171.42857142857099</v>
      </c>
    </row>
    <row r="318" spans="1:6">
      <c r="A318" t="s">
        <v>317</v>
      </c>
      <c r="B318">
        <v>35</v>
      </c>
      <c r="C318">
        <v>2</v>
      </c>
      <c r="D318">
        <v>46</v>
      </c>
      <c r="E318">
        <v>17.5</v>
      </c>
      <c r="F318">
        <v>76.086956521739097</v>
      </c>
    </row>
    <row r="319" spans="1:6">
      <c r="A319" t="s">
        <v>318</v>
      </c>
      <c r="B319">
        <v>35</v>
      </c>
      <c r="C319">
        <v>1</v>
      </c>
      <c r="D319">
        <v>37</v>
      </c>
      <c r="E319">
        <v>35</v>
      </c>
      <c r="F319">
        <v>94.594594594594597</v>
      </c>
    </row>
    <row r="320" spans="1:6">
      <c r="A320" t="s">
        <v>319</v>
      </c>
      <c r="B320">
        <v>34</v>
      </c>
      <c r="C320">
        <v>3</v>
      </c>
      <c r="D320">
        <v>52</v>
      </c>
      <c r="E320">
        <v>11.3333333333333</v>
      </c>
      <c r="F320">
        <v>65.384615384615302</v>
      </c>
    </row>
    <row r="321" spans="1:6">
      <c r="A321" t="s">
        <v>320</v>
      </c>
      <c r="B321">
        <v>34</v>
      </c>
      <c r="C321">
        <v>2</v>
      </c>
      <c r="D321">
        <v>22</v>
      </c>
      <c r="E321">
        <v>17</v>
      </c>
      <c r="F321">
        <v>154.54545454545399</v>
      </c>
    </row>
    <row r="322" spans="1:6">
      <c r="A322" t="s">
        <v>321</v>
      </c>
      <c r="B322">
        <v>34</v>
      </c>
      <c r="C322">
        <v>5</v>
      </c>
      <c r="D322">
        <v>25</v>
      </c>
      <c r="E322">
        <v>6.8</v>
      </c>
      <c r="F322">
        <v>136</v>
      </c>
    </row>
    <row r="323" spans="1:6">
      <c r="A323" t="s">
        <v>322</v>
      </c>
      <c r="B323">
        <v>34</v>
      </c>
      <c r="C323">
        <v>3</v>
      </c>
      <c r="D323">
        <v>34</v>
      </c>
      <c r="E323">
        <v>11.3333333333333</v>
      </c>
      <c r="F323">
        <v>100</v>
      </c>
    </row>
    <row r="324" spans="1:6">
      <c r="A324" t="s">
        <v>323</v>
      </c>
      <c r="B324">
        <v>33</v>
      </c>
      <c r="C324">
        <v>1</v>
      </c>
      <c r="D324">
        <v>23</v>
      </c>
      <c r="E324">
        <v>33</v>
      </c>
      <c r="F324">
        <v>143.47826086956499</v>
      </c>
    </row>
    <row r="325" spans="1:6">
      <c r="A325" t="s">
        <v>324</v>
      </c>
      <c r="B325">
        <v>33</v>
      </c>
      <c r="C325">
        <v>1</v>
      </c>
      <c r="D325">
        <v>24</v>
      </c>
      <c r="E325">
        <v>33</v>
      </c>
      <c r="F325">
        <v>137.5</v>
      </c>
    </row>
    <row r="326" spans="1:6">
      <c r="A326" t="s">
        <v>325</v>
      </c>
      <c r="B326">
        <v>32</v>
      </c>
      <c r="C326">
        <v>2</v>
      </c>
      <c r="D326">
        <v>33</v>
      </c>
      <c r="E326">
        <v>16</v>
      </c>
      <c r="F326">
        <v>96.969696969696898</v>
      </c>
    </row>
    <row r="327" spans="1:6">
      <c r="A327" t="s">
        <v>326</v>
      </c>
      <c r="B327">
        <v>32</v>
      </c>
      <c r="C327">
        <v>3</v>
      </c>
      <c r="D327">
        <v>29</v>
      </c>
      <c r="E327">
        <v>10.6666666666666</v>
      </c>
      <c r="F327">
        <v>110.34482758620599</v>
      </c>
    </row>
    <row r="328" spans="1:6">
      <c r="A328" t="s">
        <v>327</v>
      </c>
      <c r="B328">
        <v>32</v>
      </c>
      <c r="C328">
        <v>3</v>
      </c>
      <c r="D328">
        <v>36</v>
      </c>
      <c r="E328">
        <v>10.6666666666666</v>
      </c>
      <c r="F328">
        <v>88.8888888888888</v>
      </c>
    </row>
    <row r="329" spans="1:6">
      <c r="A329" t="s">
        <v>328</v>
      </c>
      <c r="B329">
        <v>32</v>
      </c>
      <c r="C329">
        <v>14</v>
      </c>
      <c r="D329">
        <v>77</v>
      </c>
      <c r="E329">
        <v>2.2857142857142798</v>
      </c>
      <c r="F329">
        <v>41.558441558441501</v>
      </c>
    </row>
    <row r="330" spans="1:6">
      <c r="A330" t="s">
        <v>329</v>
      </c>
      <c r="B330">
        <v>31</v>
      </c>
      <c r="C330">
        <v>2</v>
      </c>
      <c r="D330">
        <v>36</v>
      </c>
      <c r="E330">
        <v>15.5</v>
      </c>
      <c r="F330">
        <v>86.1111111111111</v>
      </c>
    </row>
    <row r="331" spans="1:6">
      <c r="A331" t="s">
        <v>330</v>
      </c>
      <c r="B331">
        <v>31</v>
      </c>
      <c r="C331">
        <v>3</v>
      </c>
      <c r="D331">
        <v>26</v>
      </c>
      <c r="E331">
        <v>10.3333333333333</v>
      </c>
      <c r="F331">
        <v>119.230769230769</v>
      </c>
    </row>
    <row r="332" spans="1:6">
      <c r="A332" t="s">
        <v>331</v>
      </c>
      <c r="B332">
        <v>30</v>
      </c>
      <c r="C332">
        <v>3</v>
      </c>
      <c r="D332">
        <v>29</v>
      </c>
      <c r="E332">
        <v>10</v>
      </c>
      <c r="F332">
        <v>103.448275862068</v>
      </c>
    </row>
    <row r="333" spans="1:6">
      <c r="A333" t="s">
        <v>332</v>
      </c>
      <c r="B333">
        <v>29</v>
      </c>
      <c r="C333">
        <v>2</v>
      </c>
      <c r="D333">
        <v>26</v>
      </c>
      <c r="E333">
        <v>14.5</v>
      </c>
      <c r="F333">
        <v>111.53846153846099</v>
      </c>
    </row>
    <row r="334" spans="1:6">
      <c r="A334" t="s">
        <v>333</v>
      </c>
      <c r="B334">
        <v>29</v>
      </c>
      <c r="C334">
        <v>2</v>
      </c>
      <c r="D334">
        <v>26</v>
      </c>
      <c r="E334">
        <v>14.5</v>
      </c>
      <c r="F334">
        <v>111.53846153846099</v>
      </c>
    </row>
    <row r="335" spans="1:6">
      <c r="A335" t="s">
        <v>334</v>
      </c>
      <c r="B335">
        <v>28</v>
      </c>
      <c r="C335">
        <v>2</v>
      </c>
      <c r="D335">
        <v>29</v>
      </c>
      <c r="E335">
        <v>14</v>
      </c>
      <c r="F335">
        <v>96.551724137931004</v>
      </c>
    </row>
    <row r="336" spans="1:6">
      <c r="A336" t="s">
        <v>335</v>
      </c>
      <c r="B336">
        <v>28</v>
      </c>
      <c r="C336">
        <v>2</v>
      </c>
      <c r="D336">
        <v>24</v>
      </c>
      <c r="E336">
        <v>14</v>
      </c>
      <c r="F336">
        <v>116.666666666666</v>
      </c>
    </row>
    <row r="337" spans="1:6">
      <c r="A337" t="s">
        <v>336</v>
      </c>
      <c r="B337">
        <v>26</v>
      </c>
      <c r="C337">
        <v>2</v>
      </c>
      <c r="D337">
        <v>24</v>
      </c>
      <c r="E337">
        <v>13</v>
      </c>
      <c r="F337">
        <v>108.333333333333</v>
      </c>
    </row>
    <row r="338" spans="1:6">
      <c r="A338" t="s">
        <v>337</v>
      </c>
      <c r="B338">
        <v>26</v>
      </c>
      <c r="C338">
        <v>3</v>
      </c>
      <c r="D338">
        <v>21</v>
      </c>
      <c r="E338">
        <v>8.6666666666666607</v>
      </c>
      <c r="F338">
        <v>123.809523809523</v>
      </c>
    </row>
    <row r="339" spans="1:6">
      <c r="A339" t="s">
        <v>338</v>
      </c>
      <c r="B339">
        <v>26</v>
      </c>
      <c r="C339">
        <v>9</v>
      </c>
      <c r="D339">
        <v>47</v>
      </c>
      <c r="E339">
        <v>2.88888888888888</v>
      </c>
      <c r="F339">
        <v>55.319148936170201</v>
      </c>
    </row>
    <row r="340" spans="1:6">
      <c r="A340" t="s">
        <v>339</v>
      </c>
      <c r="B340">
        <v>26</v>
      </c>
      <c r="C340">
        <v>3</v>
      </c>
      <c r="D340">
        <v>38</v>
      </c>
      <c r="E340">
        <v>8.6666666666666607</v>
      </c>
      <c r="F340">
        <v>68.421052631578902</v>
      </c>
    </row>
    <row r="341" spans="1:6">
      <c r="A341" t="s">
        <v>340</v>
      </c>
      <c r="B341">
        <v>25</v>
      </c>
      <c r="C341">
        <v>2</v>
      </c>
      <c r="D341">
        <v>20</v>
      </c>
      <c r="E341">
        <v>12.5</v>
      </c>
      <c r="F341">
        <v>125</v>
      </c>
    </row>
    <row r="342" spans="1:6">
      <c r="A342" t="s">
        <v>341</v>
      </c>
      <c r="B342">
        <v>25</v>
      </c>
      <c r="C342">
        <v>3</v>
      </c>
      <c r="D342">
        <v>31</v>
      </c>
      <c r="E342">
        <v>8.3333333333333304</v>
      </c>
      <c r="F342">
        <v>80.645161290322505</v>
      </c>
    </row>
    <row r="343" spans="1:6">
      <c r="A343" t="s">
        <v>342</v>
      </c>
      <c r="B343">
        <v>24</v>
      </c>
      <c r="C343">
        <v>3</v>
      </c>
      <c r="D343">
        <v>21</v>
      </c>
      <c r="E343">
        <v>8</v>
      </c>
      <c r="F343">
        <v>114.28571428571399</v>
      </c>
    </row>
    <row r="344" spans="1:6">
      <c r="A344" t="s">
        <v>343</v>
      </c>
      <c r="B344">
        <v>24</v>
      </c>
      <c r="C344">
        <v>2</v>
      </c>
      <c r="D344">
        <v>20</v>
      </c>
      <c r="E344">
        <v>12</v>
      </c>
      <c r="F344">
        <v>120</v>
      </c>
    </row>
    <row r="345" spans="1:6">
      <c r="A345" t="s">
        <v>344</v>
      </c>
      <c r="B345">
        <v>24</v>
      </c>
      <c r="C345">
        <v>2</v>
      </c>
      <c r="D345">
        <v>14</v>
      </c>
      <c r="E345">
        <v>12</v>
      </c>
      <c r="F345">
        <v>171.42857142857099</v>
      </c>
    </row>
    <row r="346" spans="1:6">
      <c r="A346" t="s">
        <v>345</v>
      </c>
      <c r="B346">
        <v>24</v>
      </c>
      <c r="C346">
        <v>7</v>
      </c>
      <c r="D346">
        <v>39</v>
      </c>
      <c r="E346">
        <v>3.4285714285714199</v>
      </c>
      <c r="F346">
        <v>61.538461538461497</v>
      </c>
    </row>
    <row r="347" spans="1:6">
      <c r="A347" t="s">
        <v>346</v>
      </c>
      <c r="B347">
        <v>23</v>
      </c>
      <c r="C347">
        <v>3</v>
      </c>
      <c r="D347">
        <v>27</v>
      </c>
      <c r="E347">
        <v>7.6666666666666599</v>
      </c>
      <c r="F347">
        <v>85.185185185185105</v>
      </c>
    </row>
    <row r="348" spans="1:6">
      <c r="A348" t="s">
        <v>347</v>
      </c>
      <c r="B348">
        <v>23</v>
      </c>
      <c r="C348">
        <v>3</v>
      </c>
      <c r="D348">
        <v>27</v>
      </c>
      <c r="E348">
        <v>7.6666666666666599</v>
      </c>
      <c r="F348">
        <v>85.185185185185105</v>
      </c>
    </row>
    <row r="349" spans="1:6">
      <c r="A349" t="s">
        <v>348</v>
      </c>
      <c r="B349">
        <v>23</v>
      </c>
      <c r="C349">
        <v>3</v>
      </c>
      <c r="D349">
        <v>23</v>
      </c>
      <c r="E349">
        <v>7.6666666666666599</v>
      </c>
      <c r="F349">
        <v>100</v>
      </c>
    </row>
    <row r="350" spans="1:6">
      <c r="A350" t="s">
        <v>349</v>
      </c>
      <c r="B350">
        <v>23</v>
      </c>
      <c r="C350">
        <v>2</v>
      </c>
      <c r="D350">
        <v>31</v>
      </c>
      <c r="E350">
        <v>11.5</v>
      </c>
      <c r="F350">
        <v>74.193548387096698</v>
      </c>
    </row>
    <row r="351" spans="1:6">
      <c r="A351" t="s">
        <v>350</v>
      </c>
      <c r="B351">
        <v>23</v>
      </c>
      <c r="C351">
        <v>3</v>
      </c>
      <c r="D351">
        <v>26</v>
      </c>
      <c r="E351">
        <v>7.6666666666666599</v>
      </c>
      <c r="F351">
        <v>88.461538461538396</v>
      </c>
    </row>
    <row r="352" spans="1:6">
      <c r="A352" t="s">
        <v>351</v>
      </c>
      <c r="B352">
        <v>22</v>
      </c>
      <c r="C352">
        <v>3</v>
      </c>
      <c r="D352">
        <v>33</v>
      </c>
      <c r="E352">
        <v>7.3333333333333304</v>
      </c>
      <c r="F352">
        <v>66.6666666666666</v>
      </c>
    </row>
    <row r="353" spans="1:6">
      <c r="A353" t="s">
        <v>352</v>
      </c>
      <c r="B353">
        <v>22</v>
      </c>
      <c r="C353">
        <v>2</v>
      </c>
      <c r="D353">
        <v>22</v>
      </c>
      <c r="E353">
        <v>11</v>
      </c>
      <c r="F353">
        <v>100</v>
      </c>
    </row>
    <row r="354" spans="1:6">
      <c r="A354" t="s">
        <v>353</v>
      </c>
      <c r="B354">
        <v>22</v>
      </c>
      <c r="C354">
        <v>4</v>
      </c>
      <c r="D354">
        <v>48</v>
      </c>
      <c r="E354">
        <v>5.5</v>
      </c>
      <c r="F354">
        <v>45.8333333333333</v>
      </c>
    </row>
    <row r="355" spans="1:6">
      <c r="A355" t="s">
        <v>354</v>
      </c>
      <c r="B355">
        <v>21</v>
      </c>
      <c r="C355">
        <v>2</v>
      </c>
      <c r="D355">
        <v>26</v>
      </c>
      <c r="E355">
        <v>10.5</v>
      </c>
      <c r="F355">
        <v>80.769230769230703</v>
      </c>
    </row>
    <row r="356" spans="1:6">
      <c r="A356" t="s">
        <v>355</v>
      </c>
      <c r="B356">
        <v>21</v>
      </c>
      <c r="C356">
        <v>1</v>
      </c>
      <c r="D356">
        <v>22</v>
      </c>
      <c r="E356">
        <v>21</v>
      </c>
      <c r="F356">
        <v>95.454545454545396</v>
      </c>
    </row>
    <row r="357" spans="1:6">
      <c r="A357" t="s">
        <v>356</v>
      </c>
      <c r="B357">
        <v>20</v>
      </c>
      <c r="C357">
        <v>1</v>
      </c>
      <c r="D357">
        <v>18</v>
      </c>
      <c r="E357">
        <v>20</v>
      </c>
      <c r="F357">
        <v>111.111111111111</v>
      </c>
    </row>
    <row r="358" spans="1:6">
      <c r="A358" t="s">
        <v>357</v>
      </c>
      <c r="B358">
        <v>20</v>
      </c>
      <c r="C358">
        <v>6</v>
      </c>
      <c r="D358">
        <v>29</v>
      </c>
      <c r="E358">
        <v>3.3333333333333299</v>
      </c>
      <c r="F358">
        <v>68.965517241379303</v>
      </c>
    </row>
    <row r="359" spans="1:6">
      <c r="A359" t="s">
        <v>358</v>
      </c>
      <c r="B359">
        <v>20</v>
      </c>
      <c r="C359">
        <v>4</v>
      </c>
      <c r="D359">
        <v>24</v>
      </c>
      <c r="E359">
        <v>5</v>
      </c>
      <c r="F359">
        <v>83.3333333333333</v>
      </c>
    </row>
    <row r="360" spans="1:6">
      <c r="A360" t="s">
        <v>359</v>
      </c>
      <c r="B360">
        <v>20</v>
      </c>
      <c r="C360">
        <v>2</v>
      </c>
      <c r="D360">
        <v>19</v>
      </c>
      <c r="E360">
        <v>10</v>
      </c>
      <c r="F360">
        <v>105.263157894736</v>
      </c>
    </row>
    <row r="361" spans="1:6">
      <c r="A361" t="s">
        <v>360</v>
      </c>
      <c r="B361">
        <v>20</v>
      </c>
      <c r="C361">
        <v>0</v>
      </c>
      <c r="D361">
        <v>12</v>
      </c>
      <c r="F361">
        <v>166.666666666666</v>
      </c>
    </row>
    <row r="362" spans="1:6">
      <c r="A362" t="s">
        <v>361</v>
      </c>
      <c r="B362">
        <v>20</v>
      </c>
      <c r="C362">
        <v>4</v>
      </c>
      <c r="D362">
        <v>27</v>
      </c>
      <c r="E362">
        <v>5</v>
      </c>
      <c r="F362">
        <v>74.074074074074005</v>
      </c>
    </row>
    <row r="363" spans="1:6">
      <c r="A363" t="s">
        <v>362</v>
      </c>
      <c r="B363">
        <v>20</v>
      </c>
      <c r="C363">
        <v>3</v>
      </c>
      <c r="D363">
        <v>21</v>
      </c>
      <c r="E363">
        <v>6.6666666666666599</v>
      </c>
      <c r="F363">
        <v>95.238095238095198</v>
      </c>
    </row>
    <row r="364" spans="1:6">
      <c r="A364" t="s">
        <v>363</v>
      </c>
      <c r="B364">
        <v>20</v>
      </c>
      <c r="C364">
        <v>2</v>
      </c>
      <c r="D364">
        <v>26</v>
      </c>
      <c r="E364">
        <v>10</v>
      </c>
      <c r="F364">
        <v>76.923076923076906</v>
      </c>
    </row>
    <row r="365" spans="1:6">
      <c r="A365" t="s">
        <v>364</v>
      </c>
      <c r="B365">
        <v>19</v>
      </c>
      <c r="C365">
        <v>2</v>
      </c>
      <c r="D365">
        <v>23</v>
      </c>
      <c r="E365">
        <v>9.5</v>
      </c>
      <c r="F365">
        <v>82.608695652173907</v>
      </c>
    </row>
    <row r="366" spans="1:6">
      <c r="A366" t="s">
        <v>365</v>
      </c>
      <c r="B366">
        <v>19</v>
      </c>
      <c r="C366">
        <v>2</v>
      </c>
      <c r="D366">
        <v>24</v>
      </c>
      <c r="E366">
        <v>9.5</v>
      </c>
      <c r="F366">
        <v>79.1666666666666</v>
      </c>
    </row>
    <row r="367" spans="1:6">
      <c r="A367" t="s">
        <v>366</v>
      </c>
      <c r="B367">
        <v>19</v>
      </c>
      <c r="C367">
        <v>3</v>
      </c>
      <c r="D367">
        <v>17</v>
      </c>
      <c r="E367">
        <v>6.3333333333333304</v>
      </c>
      <c r="F367">
        <v>111.764705882352</v>
      </c>
    </row>
    <row r="368" spans="1:6">
      <c r="A368" t="s">
        <v>367</v>
      </c>
      <c r="B368">
        <v>19</v>
      </c>
      <c r="C368">
        <v>0</v>
      </c>
      <c r="D368">
        <v>13</v>
      </c>
      <c r="F368">
        <v>146.15384615384599</v>
      </c>
    </row>
    <row r="369" spans="1:6">
      <c r="A369" t="s">
        <v>368</v>
      </c>
      <c r="B369">
        <v>19</v>
      </c>
      <c r="C369">
        <v>2</v>
      </c>
      <c r="D369">
        <v>22</v>
      </c>
      <c r="E369">
        <v>9.5</v>
      </c>
      <c r="F369">
        <v>86.363636363636303</v>
      </c>
    </row>
    <row r="370" spans="1:6">
      <c r="A370" t="s">
        <v>369</v>
      </c>
      <c r="B370">
        <v>19</v>
      </c>
      <c r="C370">
        <v>1</v>
      </c>
      <c r="D370">
        <v>17</v>
      </c>
      <c r="E370">
        <v>19</v>
      </c>
      <c r="F370">
        <v>111.764705882352</v>
      </c>
    </row>
    <row r="371" spans="1:6">
      <c r="A371" t="s">
        <v>370</v>
      </c>
      <c r="B371">
        <v>19</v>
      </c>
      <c r="C371">
        <v>1</v>
      </c>
      <c r="D371">
        <v>24</v>
      </c>
      <c r="E371">
        <v>19</v>
      </c>
      <c r="F371">
        <v>79.1666666666666</v>
      </c>
    </row>
    <row r="372" spans="1:6">
      <c r="A372" t="s">
        <v>371</v>
      </c>
      <c r="B372">
        <v>19</v>
      </c>
      <c r="C372">
        <v>3</v>
      </c>
      <c r="D372">
        <v>26</v>
      </c>
      <c r="E372">
        <v>6.3333333333333304</v>
      </c>
      <c r="F372">
        <v>73.076923076922995</v>
      </c>
    </row>
    <row r="373" spans="1:6">
      <c r="A373" t="s">
        <v>372</v>
      </c>
      <c r="B373">
        <v>18</v>
      </c>
      <c r="C373">
        <v>2</v>
      </c>
      <c r="D373">
        <v>16</v>
      </c>
      <c r="E373">
        <v>9</v>
      </c>
      <c r="F373">
        <v>112.5</v>
      </c>
    </row>
    <row r="374" spans="1:6">
      <c r="A374" t="s">
        <v>373</v>
      </c>
      <c r="B374">
        <v>18</v>
      </c>
      <c r="C374">
        <v>2</v>
      </c>
      <c r="D374">
        <v>12</v>
      </c>
      <c r="E374">
        <v>9</v>
      </c>
      <c r="F374">
        <v>150</v>
      </c>
    </row>
    <row r="375" spans="1:6">
      <c r="A375" t="s">
        <v>374</v>
      </c>
      <c r="B375">
        <v>18</v>
      </c>
      <c r="C375">
        <v>1</v>
      </c>
      <c r="D375">
        <v>11</v>
      </c>
      <c r="E375">
        <v>18</v>
      </c>
      <c r="F375">
        <v>163.636363636363</v>
      </c>
    </row>
    <row r="376" spans="1:6">
      <c r="A376" t="s">
        <v>375</v>
      </c>
      <c r="B376">
        <v>18</v>
      </c>
      <c r="C376">
        <v>1</v>
      </c>
      <c r="D376">
        <v>39</v>
      </c>
      <c r="E376">
        <v>18</v>
      </c>
      <c r="F376">
        <v>46.153846153846096</v>
      </c>
    </row>
    <row r="377" spans="1:6">
      <c r="A377" t="s">
        <v>376</v>
      </c>
      <c r="B377">
        <v>18</v>
      </c>
      <c r="C377">
        <v>2</v>
      </c>
      <c r="D377">
        <v>18</v>
      </c>
      <c r="E377">
        <v>9</v>
      </c>
      <c r="F377">
        <v>100</v>
      </c>
    </row>
    <row r="378" spans="1:6">
      <c r="A378" t="s">
        <v>377</v>
      </c>
      <c r="B378">
        <v>17</v>
      </c>
      <c r="C378">
        <v>2</v>
      </c>
      <c r="D378">
        <v>20</v>
      </c>
      <c r="E378">
        <v>8.5</v>
      </c>
      <c r="F378">
        <v>85</v>
      </c>
    </row>
    <row r="379" spans="1:6">
      <c r="A379" t="s">
        <v>378</v>
      </c>
      <c r="B379">
        <v>17</v>
      </c>
      <c r="C379">
        <v>3</v>
      </c>
      <c r="D379">
        <v>30</v>
      </c>
      <c r="E379">
        <v>5.6666666666666599</v>
      </c>
      <c r="F379">
        <v>56.6666666666666</v>
      </c>
    </row>
    <row r="380" spans="1:6">
      <c r="A380" t="s">
        <v>379</v>
      </c>
      <c r="B380">
        <v>16</v>
      </c>
      <c r="C380">
        <v>10</v>
      </c>
      <c r="D380">
        <v>44</v>
      </c>
      <c r="E380">
        <v>1.6</v>
      </c>
      <c r="F380">
        <v>36.363636363636303</v>
      </c>
    </row>
    <row r="381" spans="1:6">
      <c r="A381" t="s">
        <v>380</v>
      </c>
      <c r="B381">
        <v>16</v>
      </c>
      <c r="C381">
        <v>3</v>
      </c>
      <c r="D381">
        <v>23</v>
      </c>
      <c r="E381">
        <v>5.3333333333333304</v>
      </c>
      <c r="F381">
        <v>69.565217391304301</v>
      </c>
    </row>
    <row r="382" spans="1:6">
      <c r="A382" t="s">
        <v>381</v>
      </c>
      <c r="B382">
        <v>16</v>
      </c>
      <c r="C382">
        <v>1</v>
      </c>
      <c r="D382">
        <v>17</v>
      </c>
      <c r="E382">
        <v>16</v>
      </c>
      <c r="F382">
        <v>94.117647058823493</v>
      </c>
    </row>
    <row r="383" spans="1:6">
      <c r="A383" t="s">
        <v>382</v>
      </c>
      <c r="B383">
        <v>15</v>
      </c>
      <c r="C383">
        <v>1</v>
      </c>
      <c r="D383">
        <v>13</v>
      </c>
      <c r="E383">
        <v>15</v>
      </c>
      <c r="F383">
        <v>115.384615384615</v>
      </c>
    </row>
    <row r="384" spans="1:6">
      <c r="A384" t="s">
        <v>383</v>
      </c>
      <c r="B384">
        <v>15</v>
      </c>
      <c r="C384">
        <v>1</v>
      </c>
      <c r="D384">
        <v>19</v>
      </c>
      <c r="E384">
        <v>15</v>
      </c>
      <c r="F384">
        <v>78.947368421052602</v>
      </c>
    </row>
    <row r="385" spans="1:6">
      <c r="A385" t="s">
        <v>384</v>
      </c>
      <c r="B385">
        <v>15</v>
      </c>
      <c r="C385">
        <v>1</v>
      </c>
      <c r="D385">
        <v>16</v>
      </c>
      <c r="E385">
        <v>15</v>
      </c>
      <c r="F385">
        <v>93.75</v>
      </c>
    </row>
    <row r="386" spans="1:6">
      <c r="A386" t="s">
        <v>385</v>
      </c>
      <c r="B386">
        <v>15</v>
      </c>
      <c r="C386">
        <v>2</v>
      </c>
      <c r="D386">
        <v>26</v>
      </c>
      <c r="E386">
        <v>7.5</v>
      </c>
      <c r="F386">
        <v>57.692307692307601</v>
      </c>
    </row>
    <row r="387" spans="1:6">
      <c r="A387" t="s">
        <v>386</v>
      </c>
      <c r="B387">
        <v>15</v>
      </c>
      <c r="C387">
        <v>2</v>
      </c>
      <c r="D387">
        <v>13</v>
      </c>
      <c r="E387">
        <v>7.5</v>
      </c>
      <c r="F387">
        <v>115.384615384615</v>
      </c>
    </row>
    <row r="388" spans="1:6">
      <c r="A388" t="s">
        <v>387</v>
      </c>
      <c r="B388">
        <v>15</v>
      </c>
      <c r="C388">
        <v>0</v>
      </c>
      <c r="D388">
        <v>13</v>
      </c>
      <c r="F388">
        <v>115.384615384615</v>
      </c>
    </row>
    <row r="389" spans="1:6">
      <c r="A389" t="s">
        <v>388</v>
      </c>
      <c r="B389">
        <v>15</v>
      </c>
      <c r="C389">
        <v>1</v>
      </c>
      <c r="D389">
        <v>13</v>
      </c>
      <c r="E389">
        <v>15</v>
      </c>
      <c r="F389">
        <v>115.384615384615</v>
      </c>
    </row>
    <row r="390" spans="1:6">
      <c r="A390" t="s">
        <v>389</v>
      </c>
      <c r="B390">
        <v>14</v>
      </c>
      <c r="C390">
        <v>2</v>
      </c>
      <c r="D390">
        <v>13</v>
      </c>
      <c r="E390">
        <v>7</v>
      </c>
      <c r="F390">
        <v>107.692307692307</v>
      </c>
    </row>
    <row r="391" spans="1:6">
      <c r="A391" t="s">
        <v>390</v>
      </c>
      <c r="B391">
        <v>14</v>
      </c>
      <c r="C391">
        <v>2</v>
      </c>
      <c r="D391">
        <v>13</v>
      </c>
      <c r="E391">
        <v>7</v>
      </c>
      <c r="F391">
        <v>107.692307692307</v>
      </c>
    </row>
    <row r="392" spans="1:6">
      <c r="A392" t="s">
        <v>391</v>
      </c>
      <c r="B392">
        <v>13</v>
      </c>
      <c r="C392">
        <v>5</v>
      </c>
      <c r="D392">
        <v>23</v>
      </c>
      <c r="E392">
        <v>2.6</v>
      </c>
      <c r="F392">
        <v>56.521739130434703</v>
      </c>
    </row>
    <row r="393" spans="1:6">
      <c r="A393" t="s">
        <v>392</v>
      </c>
      <c r="B393">
        <v>13</v>
      </c>
      <c r="C393">
        <v>3</v>
      </c>
      <c r="D393">
        <v>15</v>
      </c>
      <c r="E393">
        <v>4.3333333333333304</v>
      </c>
      <c r="F393">
        <v>86.6666666666666</v>
      </c>
    </row>
    <row r="394" spans="1:6">
      <c r="A394" t="s">
        <v>393</v>
      </c>
      <c r="B394">
        <v>13</v>
      </c>
      <c r="C394">
        <v>1</v>
      </c>
      <c r="D394">
        <v>13</v>
      </c>
      <c r="E394">
        <v>13</v>
      </c>
      <c r="F394">
        <v>100</v>
      </c>
    </row>
    <row r="395" spans="1:6">
      <c r="A395" t="s">
        <v>394</v>
      </c>
      <c r="B395">
        <v>13</v>
      </c>
      <c r="C395">
        <v>1</v>
      </c>
      <c r="D395">
        <v>8</v>
      </c>
      <c r="E395">
        <v>13</v>
      </c>
      <c r="F395">
        <v>162.5</v>
      </c>
    </row>
    <row r="396" spans="1:6">
      <c r="A396" t="s">
        <v>395</v>
      </c>
      <c r="B396">
        <v>13</v>
      </c>
      <c r="C396">
        <v>2</v>
      </c>
      <c r="D396">
        <v>17</v>
      </c>
      <c r="E396">
        <v>6.5</v>
      </c>
      <c r="F396">
        <v>76.470588235294102</v>
      </c>
    </row>
    <row r="397" spans="1:6">
      <c r="A397" t="s">
        <v>396</v>
      </c>
      <c r="B397">
        <v>12</v>
      </c>
      <c r="C397">
        <v>3</v>
      </c>
      <c r="D397">
        <v>20</v>
      </c>
      <c r="E397">
        <v>4</v>
      </c>
      <c r="F397">
        <v>60</v>
      </c>
    </row>
    <row r="398" spans="1:6">
      <c r="A398" t="s">
        <v>397</v>
      </c>
      <c r="B398">
        <v>12</v>
      </c>
      <c r="C398">
        <v>2</v>
      </c>
      <c r="D398">
        <v>18</v>
      </c>
      <c r="E398">
        <v>6</v>
      </c>
      <c r="F398">
        <v>66.6666666666666</v>
      </c>
    </row>
    <row r="399" spans="1:6">
      <c r="A399" t="s">
        <v>398</v>
      </c>
      <c r="B399">
        <v>12</v>
      </c>
      <c r="C399">
        <v>2</v>
      </c>
      <c r="D399">
        <v>14</v>
      </c>
      <c r="E399">
        <v>6</v>
      </c>
      <c r="F399">
        <v>85.714285714285694</v>
      </c>
    </row>
    <row r="400" spans="1:6">
      <c r="A400" t="s">
        <v>399</v>
      </c>
      <c r="B400">
        <v>12</v>
      </c>
      <c r="C400">
        <v>0</v>
      </c>
      <c r="D400">
        <v>9</v>
      </c>
      <c r="F400">
        <v>133.333333333333</v>
      </c>
    </row>
    <row r="401" spans="1:6">
      <c r="A401" t="s">
        <v>400</v>
      </c>
      <c r="B401">
        <v>12</v>
      </c>
      <c r="C401">
        <v>2</v>
      </c>
      <c r="D401">
        <v>11</v>
      </c>
      <c r="E401">
        <v>6</v>
      </c>
      <c r="F401">
        <v>109.09090909090899</v>
      </c>
    </row>
    <row r="402" spans="1:6">
      <c r="A402" t="s">
        <v>401</v>
      </c>
      <c r="B402">
        <v>12</v>
      </c>
      <c r="C402">
        <v>0</v>
      </c>
      <c r="D402">
        <v>12</v>
      </c>
      <c r="F402">
        <v>100</v>
      </c>
    </row>
    <row r="403" spans="1:6">
      <c r="A403" t="s">
        <v>402</v>
      </c>
      <c r="B403">
        <v>12</v>
      </c>
      <c r="C403">
        <v>1</v>
      </c>
      <c r="D403">
        <v>11</v>
      </c>
      <c r="E403">
        <v>12</v>
      </c>
      <c r="F403">
        <v>109.09090909090899</v>
      </c>
    </row>
    <row r="404" spans="1:6">
      <c r="A404" t="s">
        <v>403</v>
      </c>
      <c r="B404">
        <v>12</v>
      </c>
      <c r="C404">
        <v>1</v>
      </c>
      <c r="D404">
        <v>17</v>
      </c>
      <c r="E404">
        <v>12</v>
      </c>
      <c r="F404">
        <v>70.588235294117595</v>
      </c>
    </row>
    <row r="405" spans="1:6">
      <c r="A405" t="s">
        <v>404</v>
      </c>
      <c r="B405">
        <v>12</v>
      </c>
      <c r="C405">
        <v>0</v>
      </c>
      <c r="D405">
        <v>9</v>
      </c>
      <c r="F405">
        <v>133.333333333333</v>
      </c>
    </row>
    <row r="406" spans="1:6">
      <c r="A406" t="s">
        <v>405</v>
      </c>
      <c r="B406">
        <v>12</v>
      </c>
      <c r="C406">
        <v>3</v>
      </c>
      <c r="D406">
        <v>28</v>
      </c>
      <c r="E406">
        <v>4</v>
      </c>
      <c r="F406">
        <v>42.857142857142797</v>
      </c>
    </row>
    <row r="407" spans="1:6">
      <c r="A407" t="s">
        <v>406</v>
      </c>
      <c r="B407">
        <v>11</v>
      </c>
      <c r="C407">
        <v>1</v>
      </c>
      <c r="D407">
        <v>18</v>
      </c>
      <c r="E407">
        <v>11</v>
      </c>
      <c r="F407">
        <v>61.1111111111111</v>
      </c>
    </row>
    <row r="408" spans="1:6">
      <c r="A408" t="s">
        <v>407</v>
      </c>
      <c r="B408">
        <v>11</v>
      </c>
      <c r="C408">
        <v>1</v>
      </c>
      <c r="D408">
        <v>14</v>
      </c>
      <c r="E408">
        <v>11</v>
      </c>
      <c r="F408">
        <v>78.571428571428498</v>
      </c>
    </row>
    <row r="409" spans="1:6">
      <c r="A409" t="s">
        <v>408</v>
      </c>
      <c r="B409">
        <v>11</v>
      </c>
      <c r="C409">
        <v>1</v>
      </c>
      <c r="D409">
        <v>16</v>
      </c>
      <c r="E409">
        <v>11</v>
      </c>
      <c r="F409">
        <v>68.75</v>
      </c>
    </row>
    <row r="410" spans="1:6">
      <c r="A410" t="s">
        <v>409</v>
      </c>
      <c r="B410">
        <v>11</v>
      </c>
      <c r="C410">
        <v>3</v>
      </c>
      <c r="D410">
        <v>19</v>
      </c>
      <c r="E410">
        <v>3.6666666666666599</v>
      </c>
      <c r="F410">
        <v>57.894736842105203</v>
      </c>
    </row>
    <row r="411" spans="1:6">
      <c r="A411" t="s">
        <v>410</v>
      </c>
      <c r="B411">
        <v>11</v>
      </c>
      <c r="C411">
        <v>1</v>
      </c>
      <c r="D411">
        <v>9</v>
      </c>
      <c r="E411">
        <v>11</v>
      </c>
      <c r="F411">
        <v>122.222222222222</v>
      </c>
    </row>
    <row r="412" spans="1:6">
      <c r="A412" t="s">
        <v>411</v>
      </c>
      <c r="B412">
        <v>10</v>
      </c>
      <c r="C412">
        <v>1</v>
      </c>
      <c r="D412">
        <v>17</v>
      </c>
      <c r="E412">
        <v>10</v>
      </c>
      <c r="F412">
        <v>58.823529411764703</v>
      </c>
    </row>
    <row r="413" spans="1:6">
      <c r="A413" t="s">
        <v>412</v>
      </c>
      <c r="B413">
        <v>10</v>
      </c>
      <c r="C413">
        <v>2</v>
      </c>
      <c r="D413">
        <v>12</v>
      </c>
      <c r="E413">
        <v>5</v>
      </c>
      <c r="F413">
        <v>83.3333333333333</v>
      </c>
    </row>
    <row r="414" spans="1:6">
      <c r="A414" t="s">
        <v>413</v>
      </c>
      <c r="B414">
        <v>10</v>
      </c>
      <c r="C414">
        <v>1</v>
      </c>
      <c r="D414">
        <v>14</v>
      </c>
      <c r="E414">
        <v>10</v>
      </c>
      <c r="F414">
        <v>71.428571428571402</v>
      </c>
    </row>
    <row r="415" spans="1:6">
      <c r="A415" t="s">
        <v>414</v>
      </c>
      <c r="B415">
        <v>10</v>
      </c>
      <c r="C415">
        <v>2</v>
      </c>
      <c r="D415">
        <v>26</v>
      </c>
      <c r="E415">
        <v>5</v>
      </c>
      <c r="F415">
        <v>38.461538461538403</v>
      </c>
    </row>
    <row r="416" spans="1:6">
      <c r="A416" t="s">
        <v>415</v>
      </c>
      <c r="B416">
        <v>10</v>
      </c>
      <c r="C416">
        <v>1</v>
      </c>
      <c r="D416">
        <v>9</v>
      </c>
      <c r="E416">
        <v>10</v>
      </c>
      <c r="F416">
        <v>111.111111111111</v>
      </c>
    </row>
    <row r="417" spans="1:6">
      <c r="A417" t="s">
        <v>416</v>
      </c>
      <c r="B417">
        <v>10</v>
      </c>
      <c r="C417">
        <v>1</v>
      </c>
      <c r="D417">
        <v>17</v>
      </c>
      <c r="E417">
        <v>10</v>
      </c>
      <c r="F417">
        <v>58.823529411764703</v>
      </c>
    </row>
    <row r="418" spans="1:6">
      <c r="A418" t="s">
        <v>417</v>
      </c>
      <c r="B418">
        <v>10</v>
      </c>
      <c r="C418">
        <v>1</v>
      </c>
      <c r="D418">
        <v>13</v>
      </c>
      <c r="E418">
        <v>10</v>
      </c>
      <c r="F418">
        <v>76.923076923076906</v>
      </c>
    </row>
    <row r="419" spans="1:6">
      <c r="A419" t="s">
        <v>418</v>
      </c>
      <c r="B419">
        <v>9</v>
      </c>
      <c r="C419">
        <v>1</v>
      </c>
      <c r="D419">
        <v>10</v>
      </c>
      <c r="E419">
        <v>9</v>
      </c>
      <c r="F419">
        <v>90</v>
      </c>
    </row>
    <row r="420" spans="1:6">
      <c r="A420" t="s">
        <v>419</v>
      </c>
      <c r="B420">
        <v>9</v>
      </c>
      <c r="C420">
        <v>0</v>
      </c>
      <c r="D420">
        <v>13</v>
      </c>
      <c r="F420">
        <v>69.230769230769198</v>
      </c>
    </row>
    <row r="421" spans="1:6">
      <c r="A421" t="s">
        <v>420</v>
      </c>
      <c r="B421">
        <v>8</v>
      </c>
      <c r="C421">
        <v>2</v>
      </c>
      <c r="D421">
        <v>11</v>
      </c>
      <c r="E421">
        <v>4</v>
      </c>
      <c r="F421">
        <v>72.727272727272705</v>
      </c>
    </row>
    <row r="422" spans="1:6">
      <c r="A422" t="s">
        <v>421</v>
      </c>
      <c r="B422">
        <v>8</v>
      </c>
      <c r="C422">
        <v>1</v>
      </c>
      <c r="D422">
        <v>15</v>
      </c>
      <c r="E422">
        <v>8</v>
      </c>
      <c r="F422">
        <v>53.3333333333333</v>
      </c>
    </row>
    <row r="423" spans="1:6">
      <c r="A423" t="s">
        <v>422</v>
      </c>
      <c r="B423">
        <v>8</v>
      </c>
      <c r="C423">
        <v>1</v>
      </c>
      <c r="D423">
        <v>6</v>
      </c>
      <c r="E423">
        <v>8</v>
      </c>
      <c r="F423">
        <v>133.333333333333</v>
      </c>
    </row>
    <row r="424" spans="1:6">
      <c r="A424" t="s">
        <v>423</v>
      </c>
      <c r="B424">
        <v>8</v>
      </c>
      <c r="C424">
        <v>3</v>
      </c>
      <c r="D424">
        <v>11</v>
      </c>
      <c r="E424">
        <v>2.6666666666666599</v>
      </c>
      <c r="F424">
        <v>72.727272727272705</v>
      </c>
    </row>
    <row r="425" spans="1:6">
      <c r="A425" t="s">
        <v>424</v>
      </c>
      <c r="B425">
        <v>8</v>
      </c>
      <c r="C425">
        <v>1</v>
      </c>
      <c r="D425">
        <v>6</v>
      </c>
      <c r="E425">
        <v>8</v>
      </c>
      <c r="F425">
        <v>133.333333333333</v>
      </c>
    </row>
    <row r="426" spans="1:6">
      <c r="A426" t="s">
        <v>425</v>
      </c>
      <c r="B426">
        <v>8</v>
      </c>
      <c r="C426">
        <v>1</v>
      </c>
      <c r="D426">
        <v>11</v>
      </c>
      <c r="E426">
        <v>8</v>
      </c>
      <c r="F426">
        <v>72.727272727272705</v>
      </c>
    </row>
    <row r="427" spans="1:6">
      <c r="A427" t="s">
        <v>426</v>
      </c>
      <c r="B427">
        <v>8</v>
      </c>
      <c r="C427">
        <v>2</v>
      </c>
      <c r="D427">
        <v>9</v>
      </c>
      <c r="E427">
        <v>4</v>
      </c>
      <c r="F427">
        <v>88.8888888888888</v>
      </c>
    </row>
    <row r="428" spans="1:6">
      <c r="A428" t="s">
        <v>427</v>
      </c>
      <c r="B428">
        <v>7</v>
      </c>
      <c r="C428">
        <v>1</v>
      </c>
      <c r="D428">
        <v>14</v>
      </c>
      <c r="E428">
        <v>7</v>
      </c>
      <c r="F428">
        <v>50</v>
      </c>
    </row>
    <row r="429" spans="1:6">
      <c r="A429" t="s">
        <v>428</v>
      </c>
      <c r="B429">
        <v>7</v>
      </c>
      <c r="C429">
        <v>1</v>
      </c>
      <c r="D429">
        <v>7</v>
      </c>
      <c r="E429">
        <v>7</v>
      </c>
      <c r="F429">
        <v>100</v>
      </c>
    </row>
    <row r="430" spans="1:6">
      <c r="A430" t="s">
        <v>429</v>
      </c>
      <c r="B430">
        <v>7</v>
      </c>
      <c r="C430">
        <v>2</v>
      </c>
      <c r="D430">
        <v>12</v>
      </c>
      <c r="E430">
        <v>3.5</v>
      </c>
      <c r="F430">
        <v>58.3333333333333</v>
      </c>
    </row>
    <row r="431" spans="1:6">
      <c r="A431" t="s">
        <v>430</v>
      </c>
      <c r="B431">
        <v>7</v>
      </c>
      <c r="C431">
        <v>3</v>
      </c>
      <c r="D431">
        <v>12</v>
      </c>
      <c r="E431">
        <v>2.3333333333333299</v>
      </c>
      <c r="F431">
        <v>58.3333333333333</v>
      </c>
    </row>
    <row r="432" spans="1:6">
      <c r="A432" t="s">
        <v>431</v>
      </c>
      <c r="B432">
        <v>7</v>
      </c>
      <c r="C432">
        <v>1</v>
      </c>
      <c r="D432">
        <v>16</v>
      </c>
      <c r="E432">
        <v>7</v>
      </c>
      <c r="F432">
        <v>43.75</v>
      </c>
    </row>
    <row r="433" spans="1:6">
      <c r="A433" t="s">
        <v>432</v>
      </c>
      <c r="B433">
        <v>7</v>
      </c>
      <c r="C433">
        <v>2</v>
      </c>
      <c r="D433">
        <v>8</v>
      </c>
      <c r="E433">
        <v>3.5</v>
      </c>
      <c r="F433">
        <v>87.5</v>
      </c>
    </row>
    <row r="434" spans="1:6">
      <c r="A434" t="s">
        <v>433</v>
      </c>
      <c r="B434">
        <v>7</v>
      </c>
      <c r="C434">
        <v>2</v>
      </c>
      <c r="D434">
        <v>8</v>
      </c>
      <c r="E434">
        <v>3.5</v>
      </c>
      <c r="F434">
        <v>87.5</v>
      </c>
    </row>
    <row r="435" spans="1:6">
      <c r="A435" t="s">
        <v>434</v>
      </c>
      <c r="B435">
        <v>7</v>
      </c>
      <c r="C435">
        <v>0</v>
      </c>
      <c r="D435">
        <v>4</v>
      </c>
      <c r="F435">
        <v>175</v>
      </c>
    </row>
    <row r="436" spans="1:6">
      <c r="A436" t="s">
        <v>435</v>
      </c>
      <c r="B436">
        <v>7</v>
      </c>
      <c r="C436">
        <v>2</v>
      </c>
      <c r="D436">
        <v>17</v>
      </c>
      <c r="E436">
        <v>3.5</v>
      </c>
      <c r="F436">
        <v>41.176470588235198</v>
      </c>
    </row>
    <row r="437" spans="1:6">
      <c r="A437" t="s">
        <v>436</v>
      </c>
      <c r="B437">
        <v>7</v>
      </c>
      <c r="C437">
        <v>2</v>
      </c>
      <c r="D437">
        <v>17</v>
      </c>
      <c r="E437">
        <v>3.5</v>
      </c>
      <c r="F437">
        <v>41.176470588235198</v>
      </c>
    </row>
    <row r="438" spans="1:6">
      <c r="A438" t="s">
        <v>437</v>
      </c>
      <c r="B438">
        <v>6</v>
      </c>
      <c r="C438">
        <v>0</v>
      </c>
      <c r="D438">
        <v>5</v>
      </c>
      <c r="F438">
        <v>120</v>
      </c>
    </row>
    <row r="439" spans="1:6">
      <c r="A439" t="s">
        <v>438</v>
      </c>
      <c r="B439">
        <v>6</v>
      </c>
      <c r="C439">
        <v>0</v>
      </c>
      <c r="D439">
        <v>7</v>
      </c>
      <c r="F439">
        <v>85.714285714285694</v>
      </c>
    </row>
    <row r="440" spans="1:6">
      <c r="A440" t="s">
        <v>439</v>
      </c>
      <c r="B440">
        <v>6</v>
      </c>
      <c r="C440">
        <v>2</v>
      </c>
      <c r="D440">
        <v>14</v>
      </c>
      <c r="E440">
        <v>3</v>
      </c>
      <c r="F440">
        <v>42.857142857142797</v>
      </c>
    </row>
    <row r="441" spans="1:6">
      <c r="A441" t="s">
        <v>440</v>
      </c>
      <c r="B441">
        <v>6</v>
      </c>
      <c r="C441">
        <v>0</v>
      </c>
      <c r="D441">
        <v>10</v>
      </c>
      <c r="F441">
        <v>60</v>
      </c>
    </row>
    <row r="442" spans="1:6">
      <c r="A442" t="s">
        <v>441</v>
      </c>
      <c r="B442">
        <v>6</v>
      </c>
      <c r="C442">
        <v>0</v>
      </c>
      <c r="D442">
        <v>7</v>
      </c>
      <c r="F442">
        <v>85.714285714285694</v>
      </c>
    </row>
    <row r="443" spans="1:6">
      <c r="A443" t="s">
        <v>442</v>
      </c>
      <c r="B443">
        <v>6</v>
      </c>
      <c r="C443">
        <v>0</v>
      </c>
      <c r="D443">
        <v>3</v>
      </c>
      <c r="F443">
        <v>200</v>
      </c>
    </row>
    <row r="444" spans="1:6">
      <c r="A444" t="s">
        <v>443</v>
      </c>
      <c r="B444">
        <v>6</v>
      </c>
      <c r="C444">
        <v>1</v>
      </c>
      <c r="D444">
        <v>12</v>
      </c>
      <c r="E444">
        <v>6</v>
      </c>
      <c r="F444">
        <v>50</v>
      </c>
    </row>
    <row r="445" spans="1:6">
      <c r="A445" t="s">
        <v>444</v>
      </c>
      <c r="B445">
        <v>5</v>
      </c>
      <c r="C445">
        <v>0</v>
      </c>
      <c r="D445">
        <v>2</v>
      </c>
      <c r="F445">
        <v>250</v>
      </c>
    </row>
    <row r="446" spans="1:6">
      <c r="A446" t="s">
        <v>445</v>
      </c>
      <c r="B446">
        <v>5</v>
      </c>
      <c r="C446">
        <v>2</v>
      </c>
      <c r="D446">
        <v>8</v>
      </c>
      <c r="E446">
        <v>2.5</v>
      </c>
      <c r="F446">
        <v>62.5</v>
      </c>
    </row>
    <row r="447" spans="1:6">
      <c r="A447" t="s">
        <v>446</v>
      </c>
      <c r="B447">
        <v>5</v>
      </c>
      <c r="C447">
        <v>0</v>
      </c>
      <c r="D447">
        <v>4</v>
      </c>
      <c r="F447">
        <v>125</v>
      </c>
    </row>
    <row r="448" spans="1:6">
      <c r="A448" t="s">
        <v>447</v>
      </c>
      <c r="B448">
        <v>5</v>
      </c>
      <c r="C448">
        <v>1</v>
      </c>
      <c r="D448">
        <v>3</v>
      </c>
      <c r="E448">
        <v>5</v>
      </c>
      <c r="F448">
        <v>166.666666666666</v>
      </c>
    </row>
    <row r="449" spans="1:6">
      <c r="A449" t="s">
        <v>448</v>
      </c>
      <c r="B449">
        <v>5</v>
      </c>
      <c r="C449">
        <v>1</v>
      </c>
      <c r="D449">
        <v>5</v>
      </c>
      <c r="E449">
        <v>5</v>
      </c>
      <c r="F449">
        <v>100</v>
      </c>
    </row>
    <row r="450" spans="1:6">
      <c r="A450" t="s">
        <v>449</v>
      </c>
      <c r="B450">
        <v>5</v>
      </c>
      <c r="C450">
        <v>3</v>
      </c>
      <c r="D450">
        <v>14</v>
      </c>
      <c r="E450">
        <v>1.6666666666666601</v>
      </c>
      <c r="F450">
        <v>35.714285714285701</v>
      </c>
    </row>
    <row r="451" spans="1:6">
      <c r="A451" t="s">
        <v>450</v>
      </c>
      <c r="B451">
        <v>5</v>
      </c>
      <c r="C451">
        <v>0</v>
      </c>
      <c r="D451">
        <v>2</v>
      </c>
      <c r="F451">
        <v>250</v>
      </c>
    </row>
    <row r="452" spans="1:6">
      <c r="A452" t="s">
        <v>451</v>
      </c>
      <c r="B452">
        <v>5</v>
      </c>
      <c r="C452">
        <v>2</v>
      </c>
      <c r="D452">
        <v>13</v>
      </c>
      <c r="E452">
        <v>2.5</v>
      </c>
      <c r="F452">
        <v>38.461538461538403</v>
      </c>
    </row>
    <row r="453" spans="1:6">
      <c r="A453" t="s">
        <v>452</v>
      </c>
      <c r="B453">
        <v>4</v>
      </c>
      <c r="C453">
        <v>1</v>
      </c>
      <c r="D453">
        <v>13</v>
      </c>
      <c r="E453">
        <v>4</v>
      </c>
      <c r="F453">
        <v>30.769230769230699</v>
      </c>
    </row>
    <row r="454" spans="1:6">
      <c r="A454" t="s">
        <v>453</v>
      </c>
      <c r="B454">
        <v>4</v>
      </c>
      <c r="C454">
        <v>1</v>
      </c>
      <c r="D454">
        <v>7</v>
      </c>
      <c r="E454">
        <v>4</v>
      </c>
      <c r="F454">
        <v>57.142857142857103</v>
      </c>
    </row>
    <row r="455" spans="1:6">
      <c r="A455" t="s">
        <v>454</v>
      </c>
      <c r="B455">
        <v>4</v>
      </c>
      <c r="C455">
        <v>1</v>
      </c>
      <c r="D455">
        <v>5</v>
      </c>
      <c r="E455">
        <v>4</v>
      </c>
      <c r="F455">
        <v>80</v>
      </c>
    </row>
    <row r="456" spans="1:6">
      <c r="A456" t="s">
        <v>455</v>
      </c>
      <c r="B456">
        <v>4</v>
      </c>
      <c r="C456">
        <v>1</v>
      </c>
      <c r="D456">
        <v>7</v>
      </c>
      <c r="E456">
        <v>4</v>
      </c>
      <c r="F456">
        <v>57.142857142857103</v>
      </c>
    </row>
    <row r="457" spans="1:6">
      <c r="A457" t="s">
        <v>456</v>
      </c>
      <c r="B457">
        <v>4</v>
      </c>
      <c r="C457">
        <v>0</v>
      </c>
      <c r="D457">
        <v>5</v>
      </c>
      <c r="F457">
        <v>80</v>
      </c>
    </row>
    <row r="458" spans="1:6">
      <c r="A458" t="s">
        <v>457</v>
      </c>
      <c r="B458">
        <v>4</v>
      </c>
      <c r="C458">
        <v>1</v>
      </c>
      <c r="D458">
        <v>3</v>
      </c>
      <c r="E458">
        <v>4</v>
      </c>
      <c r="F458">
        <v>133.333333333333</v>
      </c>
    </row>
    <row r="459" spans="1:6">
      <c r="A459" t="s">
        <v>458</v>
      </c>
      <c r="B459">
        <v>4</v>
      </c>
      <c r="C459">
        <v>1</v>
      </c>
      <c r="D459">
        <v>5</v>
      </c>
      <c r="E459">
        <v>4</v>
      </c>
      <c r="F459">
        <v>80</v>
      </c>
    </row>
    <row r="460" spans="1:6">
      <c r="A460" t="s">
        <v>459</v>
      </c>
      <c r="B460">
        <v>4</v>
      </c>
      <c r="C460">
        <v>3</v>
      </c>
      <c r="D460">
        <v>8</v>
      </c>
      <c r="E460">
        <v>1.3333333333333299</v>
      </c>
      <c r="F460">
        <v>50</v>
      </c>
    </row>
    <row r="461" spans="1:6">
      <c r="A461" t="s">
        <v>460</v>
      </c>
      <c r="B461">
        <v>4</v>
      </c>
      <c r="C461">
        <v>2</v>
      </c>
      <c r="D461">
        <v>8</v>
      </c>
      <c r="E461">
        <v>2</v>
      </c>
      <c r="F461">
        <v>50</v>
      </c>
    </row>
    <row r="462" spans="1:6">
      <c r="A462" t="s">
        <v>461</v>
      </c>
      <c r="B462">
        <v>4</v>
      </c>
      <c r="C462">
        <v>0</v>
      </c>
      <c r="D462">
        <v>3</v>
      </c>
      <c r="F462">
        <v>133.333333333333</v>
      </c>
    </row>
    <row r="463" spans="1:6">
      <c r="A463" t="s">
        <v>462</v>
      </c>
      <c r="B463">
        <v>4</v>
      </c>
      <c r="C463">
        <v>0</v>
      </c>
      <c r="D463">
        <v>2</v>
      </c>
      <c r="F463">
        <v>200</v>
      </c>
    </row>
    <row r="464" spans="1:6">
      <c r="A464" t="s">
        <v>463</v>
      </c>
      <c r="B464">
        <v>4</v>
      </c>
      <c r="C464">
        <v>1</v>
      </c>
      <c r="D464">
        <v>2</v>
      </c>
      <c r="E464">
        <v>4</v>
      </c>
      <c r="F464">
        <v>200</v>
      </c>
    </row>
    <row r="465" spans="1:6">
      <c r="A465" t="s">
        <v>464</v>
      </c>
      <c r="B465">
        <v>3</v>
      </c>
      <c r="C465">
        <v>1</v>
      </c>
      <c r="D465">
        <v>5</v>
      </c>
      <c r="E465">
        <v>3</v>
      </c>
      <c r="F465">
        <v>60</v>
      </c>
    </row>
    <row r="466" spans="1:6">
      <c r="A466" t="s">
        <v>465</v>
      </c>
      <c r="B466">
        <v>3</v>
      </c>
      <c r="C466">
        <v>0</v>
      </c>
      <c r="D466">
        <v>4</v>
      </c>
      <c r="F466">
        <v>75</v>
      </c>
    </row>
    <row r="467" spans="1:6">
      <c r="A467" t="s">
        <v>466</v>
      </c>
      <c r="B467">
        <v>3</v>
      </c>
      <c r="C467">
        <v>3</v>
      </c>
      <c r="D467">
        <v>10</v>
      </c>
      <c r="E467">
        <v>1</v>
      </c>
      <c r="F467">
        <v>30</v>
      </c>
    </row>
    <row r="468" spans="1:6">
      <c r="A468" t="s">
        <v>467</v>
      </c>
      <c r="B468">
        <v>3</v>
      </c>
      <c r="C468">
        <v>1</v>
      </c>
      <c r="D468">
        <v>6</v>
      </c>
      <c r="E468">
        <v>3</v>
      </c>
      <c r="F468">
        <v>50</v>
      </c>
    </row>
    <row r="469" spans="1:6">
      <c r="A469" t="s">
        <v>468</v>
      </c>
      <c r="B469">
        <v>3</v>
      </c>
      <c r="C469">
        <v>1</v>
      </c>
      <c r="D469">
        <v>7</v>
      </c>
      <c r="E469">
        <v>3</v>
      </c>
      <c r="F469">
        <v>42.857142857142797</v>
      </c>
    </row>
    <row r="470" spans="1:6">
      <c r="A470" t="s">
        <v>469</v>
      </c>
      <c r="B470">
        <v>3</v>
      </c>
      <c r="C470">
        <v>0</v>
      </c>
      <c r="D470">
        <v>3</v>
      </c>
      <c r="F470">
        <v>100</v>
      </c>
    </row>
    <row r="471" spans="1:6">
      <c r="A471" t="s">
        <v>470</v>
      </c>
      <c r="B471">
        <v>3</v>
      </c>
      <c r="C471">
        <v>2</v>
      </c>
      <c r="D471">
        <v>5</v>
      </c>
      <c r="E471">
        <v>1.5</v>
      </c>
      <c r="F471">
        <v>60</v>
      </c>
    </row>
    <row r="472" spans="1:6">
      <c r="A472" t="s">
        <v>471</v>
      </c>
      <c r="B472">
        <v>3</v>
      </c>
      <c r="C472">
        <v>2</v>
      </c>
      <c r="D472">
        <v>6</v>
      </c>
      <c r="E472">
        <v>1.5</v>
      </c>
      <c r="F472">
        <v>50</v>
      </c>
    </row>
    <row r="473" spans="1:6">
      <c r="A473" t="s">
        <v>472</v>
      </c>
      <c r="B473">
        <v>3</v>
      </c>
      <c r="C473">
        <v>2</v>
      </c>
      <c r="D473">
        <v>6</v>
      </c>
      <c r="E473">
        <v>1.5</v>
      </c>
      <c r="F473">
        <v>50</v>
      </c>
    </row>
    <row r="474" spans="1:6">
      <c r="A474" t="s">
        <v>473</v>
      </c>
      <c r="B474">
        <v>3</v>
      </c>
      <c r="C474">
        <v>1</v>
      </c>
      <c r="D474">
        <v>5</v>
      </c>
      <c r="E474">
        <v>3</v>
      </c>
      <c r="F474">
        <v>60</v>
      </c>
    </row>
    <row r="475" spans="1:6">
      <c r="A475" t="s">
        <v>474</v>
      </c>
      <c r="B475">
        <v>3</v>
      </c>
      <c r="C475">
        <v>1</v>
      </c>
      <c r="D475">
        <v>7</v>
      </c>
      <c r="E475">
        <v>3</v>
      </c>
      <c r="F475">
        <v>42.857142857142797</v>
      </c>
    </row>
    <row r="476" spans="1:6">
      <c r="A476" t="s">
        <v>475</v>
      </c>
      <c r="B476">
        <v>2</v>
      </c>
      <c r="C476">
        <v>1</v>
      </c>
      <c r="D476">
        <v>3</v>
      </c>
      <c r="E476">
        <v>2</v>
      </c>
      <c r="F476">
        <v>66.6666666666666</v>
      </c>
    </row>
    <row r="477" spans="1:6">
      <c r="A477" t="s">
        <v>476</v>
      </c>
      <c r="B477">
        <v>2</v>
      </c>
      <c r="C477">
        <v>1</v>
      </c>
      <c r="D477">
        <v>8</v>
      </c>
      <c r="E477">
        <v>2</v>
      </c>
      <c r="F477">
        <v>25</v>
      </c>
    </row>
    <row r="478" spans="1:6">
      <c r="A478" t="s">
        <v>477</v>
      </c>
      <c r="B478">
        <v>2</v>
      </c>
      <c r="C478">
        <v>2</v>
      </c>
      <c r="D478">
        <v>3</v>
      </c>
      <c r="E478">
        <v>1</v>
      </c>
      <c r="F478">
        <v>66.6666666666666</v>
      </c>
    </row>
    <row r="479" spans="1:6">
      <c r="A479" t="s">
        <v>478</v>
      </c>
      <c r="B479">
        <v>2</v>
      </c>
      <c r="C479">
        <v>1</v>
      </c>
      <c r="D479">
        <v>10</v>
      </c>
      <c r="E479">
        <v>2</v>
      </c>
      <c r="F479">
        <v>20</v>
      </c>
    </row>
    <row r="480" spans="1:6">
      <c r="A480" t="s">
        <v>479</v>
      </c>
      <c r="B480">
        <v>2</v>
      </c>
      <c r="C480">
        <v>0</v>
      </c>
      <c r="D480">
        <v>2</v>
      </c>
      <c r="F480">
        <v>100</v>
      </c>
    </row>
    <row r="481" spans="1:6">
      <c r="A481" t="s">
        <v>480</v>
      </c>
      <c r="B481">
        <v>2</v>
      </c>
      <c r="C481">
        <v>1</v>
      </c>
      <c r="D481">
        <v>4</v>
      </c>
      <c r="E481">
        <v>2</v>
      </c>
      <c r="F481">
        <v>50</v>
      </c>
    </row>
    <row r="482" spans="1:6">
      <c r="A482" t="s">
        <v>481</v>
      </c>
      <c r="B482">
        <v>2</v>
      </c>
      <c r="C482">
        <v>1</v>
      </c>
      <c r="D482">
        <v>7</v>
      </c>
      <c r="E482">
        <v>2</v>
      </c>
      <c r="F482">
        <v>28.571428571428498</v>
      </c>
    </row>
    <row r="483" spans="1:6">
      <c r="A483" t="s">
        <v>482</v>
      </c>
      <c r="B483">
        <v>2</v>
      </c>
      <c r="C483">
        <v>0</v>
      </c>
      <c r="D483">
        <v>2</v>
      </c>
      <c r="F483">
        <v>100</v>
      </c>
    </row>
    <row r="484" spans="1:6">
      <c r="A484" t="s">
        <v>483</v>
      </c>
      <c r="B484">
        <v>2</v>
      </c>
      <c r="C484">
        <v>4</v>
      </c>
      <c r="D484">
        <v>10</v>
      </c>
      <c r="E484">
        <v>0.5</v>
      </c>
      <c r="F484">
        <v>20</v>
      </c>
    </row>
    <row r="485" spans="1:6">
      <c r="A485" t="s">
        <v>484</v>
      </c>
      <c r="B485">
        <v>2</v>
      </c>
      <c r="C485">
        <v>1</v>
      </c>
      <c r="D485">
        <v>2</v>
      </c>
      <c r="E485">
        <v>2</v>
      </c>
      <c r="F485">
        <v>100</v>
      </c>
    </row>
    <row r="486" spans="1:6">
      <c r="A486" t="s">
        <v>485</v>
      </c>
      <c r="B486">
        <v>2</v>
      </c>
      <c r="C486">
        <v>1</v>
      </c>
      <c r="D486">
        <v>5</v>
      </c>
      <c r="E486">
        <v>2</v>
      </c>
      <c r="F486">
        <v>40</v>
      </c>
    </row>
    <row r="487" spans="1:6">
      <c r="A487" t="s">
        <v>486</v>
      </c>
      <c r="B487">
        <v>1</v>
      </c>
      <c r="C487">
        <v>1</v>
      </c>
      <c r="D487">
        <v>2</v>
      </c>
      <c r="E487">
        <v>1</v>
      </c>
      <c r="F487">
        <v>50</v>
      </c>
    </row>
    <row r="488" spans="1:6">
      <c r="A488" t="s">
        <v>487</v>
      </c>
      <c r="B488">
        <v>1</v>
      </c>
      <c r="C488">
        <v>0</v>
      </c>
      <c r="D488">
        <v>2</v>
      </c>
      <c r="F488">
        <v>50</v>
      </c>
    </row>
    <row r="489" spans="1:6">
      <c r="A489" t="s">
        <v>488</v>
      </c>
      <c r="B489">
        <v>1</v>
      </c>
      <c r="C489">
        <v>2</v>
      </c>
      <c r="D489">
        <v>6</v>
      </c>
      <c r="E489">
        <v>0.5</v>
      </c>
      <c r="F489">
        <v>16.6666666666666</v>
      </c>
    </row>
    <row r="490" spans="1:6">
      <c r="A490" t="s">
        <v>489</v>
      </c>
      <c r="B490">
        <v>1</v>
      </c>
      <c r="C490">
        <v>1</v>
      </c>
      <c r="D490">
        <v>3</v>
      </c>
      <c r="E490">
        <v>1</v>
      </c>
      <c r="F490">
        <v>33.3333333333333</v>
      </c>
    </row>
    <row r="491" spans="1:6">
      <c r="A491" t="s">
        <v>490</v>
      </c>
      <c r="B491">
        <v>1</v>
      </c>
      <c r="C491">
        <v>0</v>
      </c>
      <c r="D491">
        <v>1</v>
      </c>
      <c r="F491">
        <v>100</v>
      </c>
    </row>
    <row r="492" spans="1:6">
      <c r="A492" t="s">
        <v>491</v>
      </c>
      <c r="B492">
        <v>1</v>
      </c>
      <c r="C492">
        <v>0</v>
      </c>
      <c r="D492">
        <v>5</v>
      </c>
      <c r="F492">
        <v>20</v>
      </c>
    </row>
    <row r="493" spans="1:6">
      <c r="A493" t="s">
        <v>492</v>
      </c>
      <c r="B493">
        <v>1</v>
      </c>
      <c r="C493">
        <v>1</v>
      </c>
      <c r="D493">
        <v>3</v>
      </c>
      <c r="E493">
        <v>1</v>
      </c>
      <c r="F493">
        <v>33.3333333333333</v>
      </c>
    </row>
    <row r="494" spans="1:6">
      <c r="A494" t="s">
        <v>493</v>
      </c>
      <c r="B494">
        <v>1</v>
      </c>
      <c r="C494">
        <v>1</v>
      </c>
      <c r="D494">
        <v>3</v>
      </c>
      <c r="E494">
        <v>1</v>
      </c>
      <c r="F494">
        <v>33.3333333333333</v>
      </c>
    </row>
    <row r="495" spans="1:6">
      <c r="A495" t="s">
        <v>494</v>
      </c>
      <c r="B495">
        <v>1</v>
      </c>
      <c r="C495">
        <v>0</v>
      </c>
      <c r="D495">
        <v>2</v>
      </c>
      <c r="F495">
        <v>50</v>
      </c>
    </row>
    <row r="496" spans="1:6">
      <c r="A496" t="s">
        <v>495</v>
      </c>
      <c r="B496">
        <v>1</v>
      </c>
      <c r="C496">
        <v>0</v>
      </c>
      <c r="D496">
        <v>1</v>
      </c>
      <c r="F496">
        <v>100</v>
      </c>
    </row>
    <row r="497" spans="1:6">
      <c r="A497" t="s">
        <v>496</v>
      </c>
      <c r="B497">
        <v>1</v>
      </c>
      <c r="C497">
        <v>1</v>
      </c>
      <c r="D497">
        <v>3</v>
      </c>
      <c r="E497">
        <v>1</v>
      </c>
      <c r="F497">
        <v>33.3333333333333</v>
      </c>
    </row>
    <row r="498" spans="1:6">
      <c r="A498" t="s">
        <v>497</v>
      </c>
      <c r="B498">
        <v>1</v>
      </c>
      <c r="C498">
        <v>1</v>
      </c>
      <c r="D498">
        <v>3</v>
      </c>
      <c r="E498">
        <v>1</v>
      </c>
      <c r="F498">
        <v>33.3333333333333</v>
      </c>
    </row>
    <row r="499" spans="1:6">
      <c r="A499" t="s">
        <v>498</v>
      </c>
      <c r="B499">
        <v>1</v>
      </c>
      <c r="C499">
        <v>0</v>
      </c>
      <c r="D499">
        <v>1</v>
      </c>
      <c r="F499">
        <v>100</v>
      </c>
    </row>
    <row r="500" spans="1:6">
      <c r="A500" t="s">
        <v>499</v>
      </c>
      <c r="B500">
        <v>1</v>
      </c>
      <c r="C500">
        <v>1</v>
      </c>
      <c r="D500">
        <v>7</v>
      </c>
      <c r="E500">
        <v>1</v>
      </c>
      <c r="F500">
        <v>14.285714285714199</v>
      </c>
    </row>
    <row r="501" spans="1:6">
      <c r="A501" t="s">
        <v>500</v>
      </c>
      <c r="B501">
        <v>1</v>
      </c>
      <c r="C501">
        <v>1</v>
      </c>
      <c r="D501">
        <v>2</v>
      </c>
      <c r="E501">
        <v>1</v>
      </c>
      <c r="F501">
        <v>50</v>
      </c>
    </row>
    <row r="502" spans="1:6">
      <c r="A502" t="s">
        <v>501</v>
      </c>
      <c r="B502">
        <v>0</v>
      </c>
      <c r="C502">
        <v>1</v>
      </c>
      <c r="D502">
        <v>1</v>
      </c>
      <c r="E502">
        <v>0</v>
      </c>
      <c r="F502">
        <v>0</v>
      </c>
    </row>
    <row r="503" spans="1:6">
      <c r="A503" t="s">
        <v>502</v>
      </c>
      <c r="B503">
        <v>0</v>
      </c>
      <c r="C503">
        <v>1</v>
      </c>
      <c r="D503">
        <v>1</v>
      </c>
      <c r="E503">
        <v>0</v>
      </c>
      <c r="F503">
        <v>0</v>
      </c>
    </row>
    <row r="504" spans="1:6">
      <c r="A504" t="s">
        <v>503</v>
      </c>
      <c r="B504">
        <v>0</v>
      </c>
      <c r="C504">
        <v>0</v>
      </c>
      <c r="D504">
        <v>1</v>
      </c>
      <c r="F504">
        <v>0</v>
      </c>
    </row>
    <row r="505" spans="1:6">
      <c r="A505" t="s">
        <v>504</v>
      </c>
      <c r="B505">
        <v>0</v>
      </c>
      <c r="C505">
        <v>0</v>
      </c>
      <c r="D505">
        <v>1</v>
      </c>
      <c r="F505">
        <v>0</v>
      </c>
    </row>
    <row r="506" spans="1:6">
      <c r="A506" t="s">
        <v>505</v>
      </c>
      <c r="B506">
        <v>0</v>
      </c>
      <c r="C506">
        <v>0</v>
      </c>
      <c r="D506">
        <v>1</v>
      </c>
      <c r="F506">
        <v>0</v>
      </c>
    </row>
    <row r="507" spans="1:6">
      <c r="A507" t="s">
        <v>506</v>
      </c>
      <c r="B507">
        <v>0</v>
      </c>
      <c r="C507">
        <v>1</v>
      </c>
      <c r="D507">
        <v>1</v>
      </c>
      <c r="E507">
        <v>0</v>
      </c>
      <c r="F507">
        <v>0</v>
      </c>
    </row>
    <row r="508" spans="1:6">
      <c r="A508" t="s">
        <v>507</v>
      </c>
      <c r="B508">
        <v>0</v>
      </c>
      <c r="C508">
        <v>2</v>
      </c>
      <c r="D508">
        <v>2</v>
      </c>
      <c r="E508">
        <v>0</v>
      </c>
      <c r="F508">
        <v>0</v>
      </c>
    </row>
    <row r="509" spans="1:6">
      <c r="A509" t="s">
        <v>508</v>
      </c>
      <c r="B509">
        <v>0</v>
      </c>
      <c r="C509">
        <v>1</v>
      </c>
      <c r="D509">
        <v>2</v>
      </c>
      <c r="E509">
        <v>0</v>
      </c>
      <c r="F509">
        <v>0</v>
      </c>
    </row>
    <row r="510" spans="1:6">
      <c r="A510" t="s">
        <v>509</v>
      </c>
      <c r="B510">
        <v>0</v>
      </c>
      <c r="C510">
        <v>0</v>
      </c>
      <c r="D510">
        <v>2</v>
      </c>
      <c r="F510">
        <v>0</v>
      </c>
    </row>
    <row r="511" spans="1:6">
      <c r="A511" t="s">
        <v>510</v>
      </c>
      <c r="B511">
        <v>0</v>
      </c>
      <c r="C511">
        <v>0</v>
      </c>
      <c r="D511">
        <v>2</v>
      </c>
      <c r="F511">
        <v>0</v>
      </c>
    </row>
    <row r="512" spans="1:6">
      <c r="A512" t="s">
        <v>511</v>
      </c>
      <c r="B512">
        <v>0</v>
      </c>
      <c r="C512">
        <v>1</v>
      </c>
      <c r="D512">
        <v>1</v>
      </c>
      <c r="E512">
        <v>0</v>
      </c>
      <c r="F512">
        <v>0</v>
      </c>
    </row>
    <row r="513" spans="1:6">
      <c r="A513" t="s">
        <v>512</v>
      </c>
      <c r="B513">
        <v>0</v>
      </c>
      <c r="C513">
        <v>1</v>
      </c>
      <c r="D513">
        <v>13</v>
      </c>
      <c r="E513">
        <v>0</v>
      </c>
      <c r="F513">
        <v>0</v>
      </c>
    </row>
    <row r="514" spans="1:6">
      <c r="A514" t="s">
        <v>513</v>
      </c>
      <c r="B514">
        <v>0</v>
      </c>
      <c r="C514">
        <v>1</v>
      </c>
      <c r="D514">
        <v>1</v>
      </c>
      <c r="E514">
        <v>0</v>
      </c>
      <c r="F514">
        <v>0</v>
      </c>
    </row>
    <row r="515" spans="1:6">
      <c r="A515" t="s">
        <v>514</v>
      </c>
      <c r="B515">
        <v>0</v>
      </c>
      <c r="C515">
        <v>2</v>
      </c>
      <c r="D515">
        <v>9</v>
      </c>
      <c r="E515">
        <v>0</v>
      </c>
      <c r="F515">
        <v>0</v>
      </c>
    </row>
    <row r="516" spans="1:6">
      <c r="A516" t="s">
        <v>515</v>
      </c>
      <c r="B516">
        <v>0</v>
      </c>
      <c r="C516">
        <v>1</v>
      </c>
      <c r="D516">
        <v>1</v>
      </c>
      <c r="E516">
        <v>0</v>
      </c>
      <c r="F516">
        <v>0</v>
      </c>
    </row>
    <row r="517" spans="1:6">
      <c r="A517" t="s">
        <v>516</v>
      </c>
      <c r="B517">
        <v>0</v>
      </c>
      <c r="C517">
        <v>1</v>
      </c>
      <c r="D517">
        <v>1</v>
      </c>
      <c r="E517">
        <v>0</v>
      </c>
      <c r="F5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S7" sqref="S7"/>
    </sheetView>
  </sheetViews>
  <sheetFormatPr defaultRowHeight="15"/>
  <cols>
    <col min="1" max="1" width="27.28515625" customWidth="1"/>
    <col min="2" max="2" width="17.5703125" customWidth="1"/>
    <col min="3" max="3" width="7" customWidth="1"/>
    <col min="4" max="4" width="11.140625" hidden="1" customWidth="1"/>
    <col min="5" max="8" width="9.140625" hidden="1" customWidth="1"/>
    <col min="9" max="9" width="20.42578125" customWidth="1"/>
    <col min="10" max="10" width="16.140625" customWidth="1"/>
  </cols>
  <sheetData>
    <row r="1" spans="1:12" ht="48" customHeight="1">
      <c r="A1" s="19"/>
      <c r="B1" s="19"/>
      <c r="C1" s="19"/>
      <c r="D1" s="19"/>
      <c r="E1" s="19"/>
      <c r="F1" s="19"/>
      <c r="G1" s="19"/>
      <c r="H1" s="19"/>
      <c r="I1" s="21" t="s">
        <v>555</v>
      </c>
      <c r="J1" s="20"/>
      <c r="K1" s="19"/>
      <c r="L1" s="19"/>
    </row>
    <row r="2" spans="1:12" ht="45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>
      <c r="A3" s="22" t="s">
        <v>546</v>
      </c>
      <c r="B3" s="23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>
      <c r="A4" s="23" t="s">
        <v>543</v>
      </c>
      <c r="B4" s="23">
        <f>SUM(Raw_Data!B2:B517)</f>
        <v>222203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>
      <c r="A5" s="23" t="s">
        <v>541</v>
      </c>
      <c r="B5" s="23">
        <f>AVERAGE(Raw_Data!B2:B517)</f>
        <v>430.62596899224809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>
      <c r="A6" s="23" t="s">
        <v>542</v>
      </c>
      <c r="B6" s="23">
        <f>MAX(Raw_Data!B2:B517)</f>
        <v>5426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>
      <c r="A7" s="23" t="s">
        <v>544</v>
      </c>
      <c r="B7" s="23">
        <f>MIN(Raw_Data!B2:B517)</f>
        <v>0</v>
      </c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>
      <c r="A8" s="23" t="s">
        <v>545</v>
      </c>
      <c r="B8" s="23">
        <f>COUNTA(Raw_Data!A2:A517)</f>
        <v>516</v>
      </c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>
      <c r="A9" s="23"/>
      <c r="B9" s="23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49.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>
      <c r="A11" s="24" t="s">
        <v>547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30">
      <c r="A12" s="25" t="s">
        <v>548</v>
      </c>
      <c r="B12" s="18">
        <f>COUNTIF(Raw_Data!B2:B517,"&gt;5000")</f>
        <v>2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30">
      <c r="A13" s="25" t="s">
        <v>549</v>
      </c>
      <c r="B13" s="18">
        <f>COUNTIFS(Raw_Data!E2:E517,"&gt;30",Raw_Data!F2:F517,"&gt;130")</f>
        <v>35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>
      <c r="A14" s="18" t="s">
        <v>550</v>
      </c>
      <c r="B14" s="18">
        <f>SUMIF(Raw_Data!E2:E517,"&gt;40",Raw_Data!B2:B517)</f>
        <v>20437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ht="29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21">
      <c r="A17" s="17" t="s">
        <v>551</v>
      </c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>
      <c r="A18" s="18" t="s">
        <v>552</v>
      </c>
      <c r="B18" s="18">
        <f>VLOOKUP(Raw_Data!A2,Raw_Data!A2:B517,2,FALSE)</f>
        <v>5426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>
      <c r="A19" s="18" t="s">
        <v>553</v>
      </c>
      <c r="B19" s="18">
        <f>VLOOKUP(Raw_Data!A4,Raw_Data!A2:D517,4,FALSE)</f>
        <v>3742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>
      <c r="A20" s="18" t="s">
        <v>554</v>
      </c>
      <c r="B20" s="18">
        <f>INDEX(Raw_Data!E2:E517,MATCH(Raw_Data!A3,Raw_Data!A2:A517,0))</f>
        <v>33.662500000000001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>
      <selection activeCell="E21" sqref="E21"/>
    </sheetView>
  </sheetViews>
  <sheetFormatPr defaultRowHeight="15"/>
  <cols>
    <col min="1" max="1" width="13.140625" customWidth="1"/>
    <col min="2" max="2" width="21.7109375" customWidth="1"/>
    <col min="3" max="3" width="18.42578125" customWidth="1"/>
    <col min="4" max="4" width="14.7109375" customWidth="1"/>
    <col min="5" max="5" width="23.5703125" customWidth="1"/>
    <col min="6" max="6" width="11.42578125" customWidth="1"/>
    <col min="7" max="7" width="18.28515625" customWidth="1"/>
    <col min="8" max="8" width="18.7109375" customWidth="1"/>
    <col min="9" max="9" width="17.140625" customWidth="1"/>
    <col min="11" max="11" width="21.42578125" customWidth="1"/>
    <col min="12" max="12" width="17.5703125" customWidth="1"/>
  </cols>
  <sheetData>
    <row r="1" spans="1:14" ht="43.5" customHeight="1">
      <c r="A1" s="10"/>
      <c r="B1" s="10"/>
      <c r="C1" s="10"/>
      <c r="D1" s="10"/>
      <c r="E1" s="10"/>
      <c r="F1" s="10"/>
      <c r="G1" s="11" t="s">
        <v>538</v>
      </c>
      <c r="H1" s="10"/>
      <c r="I1" s="10"/>
      <c r="J1" s="10"/>
      <c r="K1" s="10"/>
      <c r="L1" s="10"/>
      <c r="M1" s="10"/>
      <c r="N1" s="10"/>
    </row>
    <row r="2" spans="1:14" ht="68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>
      <c r="A3" s="10" t="s">
        <v>519</v>
      </c>
      <c r="B3" s="10" t="s">
        <v>524</v>
      </c>
      <c r="C3" s="10"/>
      <c r="D3" s="10" t="s">
        <v>519</v>
      </c>
      <c r="E3" s="12" t="s">
        <v>527</v>
      </c>
      <c r="F3" s="10"/>
      <c r="G3" s="10"/>
      <c r="H3" s="10" t="s">
        <v>526</v>
      </c>
      <c r="I3" s="10"/>
      <c r="J3" s="10"/>
      <c r="K3" s="10" t="s">
        <v>519</v>
      </c>
      <c r="L3" s="12" t="s">
        <v>535</v>
      </c>
      <c r="M3" s="10"/>
      <c r="N3" s="10"/>
    </row>
    <row r="4" spans="1:14">
      <c r="A4" s="13" t="s">
        <v>1</v>
      </c>
      <c r="B4" s="14">
        <v>5426</v>
      </c>
      <c r="C4" s="10"/>
      <c r="D4" s="13" t="s">
        <v>444</v>
      </c>
      <c r="E4" s="12">
        <v>250</v>
      </c>
      <c r="F4" s="10"/>
      <c r="G4" s="10" t="s">
        <v>519</v>
      </c>
      <c r="H4" s="10" t="s">
        <v>528</v>
      </c>
      <c r="I4" s="10" t="s">
        <v>523</v>
      </c>
      <c r="J4" s="10"/>
      <c r="K4" s="13" t="s">
        <v>3</v>
      </c>
      <c r="L4" s="12">
        <v>161</v>
      </c>
      <c r="M4" s="10"/>
      <c r="N4" s="10"/>
    </row>
    <row r="5" spans="1:14">
      <c r="A5" s="13" t="s">
        <v>2</v>
      </c>
      <c r="B5" s="14">
        <v>5386</v>
      </c>
      <c r="C5" s="10"/>
      <c r="D5" s="13" t="s">
        <v>450</v>
      </c>
      <c r="E5" s="12">
        <v>250</v>
      </c>
      <c r="F5" s="10"/>
      <c r="G5" s="13" t="s">
        <v>1</v>
      </c>
      <c r="H5" s="12">
        <v>4111</v>
      </c>
      <c r="I5" s="12">
        <v>5426</v>
      </c>
      <c r="J5" s="10"/>
      <c r="K5" s="13" t="s">
        <v>2</v>
      </c>
      <c r="L5" s="12">
        <v>160</v>
      </c>
      <c r="M5" s="10"/>
      <c r="N5" s="10"/>
    </row>
    <row r="6" spans="1:14">
      <c r="A6" s="13" t="s">
        <v>3</v>
      </c>
      <c r="B6" s="14">
        <v>4902</v>
      </c>
      <c r="C6" s="10"/>
      <c r="D6" s="13" t="s">
        <v>302</v>
      </c>
      <c r="E6" s="12">
        <v>205.263157894736</v>
      </c>
      <c r="F6" s="10"/>
      <c r="G6" s="13" t="s">
        <v>2</v>
      </c>
      <c r="H6" s="12">
        <v>3916</v>
      </c>
      <c r="I6" s="12">
        <v>5386</v>
      </c>
      <c r="J6" s="10"/>
      <c r="K6" s="13" t="s">
        <v>8</v>
      </c>
      <c r="L6" s="12">
        <v>156</v>
      </c>
      <c r="M6" s="10"/>
      <c r="N6" s="10"/>
    </row>
    <row r="7" spans="1:14">
      <c r="A7" s="13" t="s">
        <v>4</v>
      </c>
      <c r="B7" s="14">
        <v>4717</v>
      </c>
      <c r="C7" s="10"/>
      <c r="D7" s="13" t="s">
        <v>462</v>
      </c>
      <c r="E7" s="12">
        <v>200</v>
      </c>
      <c r="F7" s="10"/>
      <c r="G7" s="13" t="s">
        <v>3</v>
      </c>
      <c r="H7" s="12">
        <v>3742</v>
      </c>
      <c r="I7" s="12">
        <v>4902</v>
      </c>
      <c r="J7" s="10"/>
      <c r="K7" s="13" t="s">
        <v>1</v>
      </c>
      <c r="L7" s="12">
        <v>152</v>
      </c>
      <c r="M7" s="10"/>
      <c r="N7" s="10"/>
    </row>
    <row r="8" spans="1:14">
      <c r="A8" s="13" t="s">
        <v>5</v>
      </c>
      <c r="B8" s="14">
        <v>4601</v>
      </c>
      <c r="C8" s="10"/>
      <c r="D8" s="13" t="s">
        <v>442</v>
      </c>
      <c r="E8" s="12">
        <v>200</v>
      </c>
      <c r="F8" s="10"/>
      <c r="G8" s="13" t="s">
        <v>5</v>
      </c>
      <c r="H8" s="12">
        <v>3665</v>
      </c>
      <c r="I8" s="12">
        <v>4601</v>
      </c>
      <c r="J8" s="10"/>
      <c r="K8" s="13" t="s">
        <v>12</v>
      </c>
      <c r="L8" s="12">
        <v>138</v>
      </c>
      <c r="M8" s="10"/>
      <c r="N8" s="10"/>
    </row>
    <row r="9" spans="1:14">
      <c r="A9" s="13" t="s">
        <v>6</v>
      </c>
      <c r="B9" s="14">
        <v>4525</v>
      </c>
      <c r="C9" s="10"/>
      <c r="D9" s="13" t="s">
        <v>463</v>
      </c>
      <c r="E9" s="12">
        <v>200</v>
      </c>
      <c r="F9" s="10"/>
      <c r="G9" s="13" t="s">
        <v>10</v>
      </c>
      <c r="H9" s="12">
        <v>3400</v>
      </c>
      <c r="I9" s="12">
        <v>4219</v>
      </c>
      <c r="J9" s="10"/>
      <c r="K9" s="13" t="s">
        <v>5</v>
      </c>
      <c r="L9" s="12">
        <v>137</v>
      </c>
      <c r="M9" s="10"/>
      <c r="N9" s="10"/>
    </row>
    <row r="10" spans="1:14">
      <c r="A10" s="13" t="s">
        <v>7</v>
      </c>
      <c r="B10" s="14">
        <v>4450</v>
      </c>
      <c r="C10" s="10"/>
      <c r="D10" s="13" t="s">
        <v>50</v>
      </c>
      <c r="E10" s="12">
        <v>188.16489361702099</v>
      </c>
      <c r="F10" s="10"/>
      <c r="G10" s="13" t="s">
        <v>8</v>
      </c>
      <c r="H10" s="12">
        <v>3381</v>
      </c>
      <c r="I10" s="12">
        <v>4420</v>
      </c>
      <c r="J10" s="10"/>
      <c r="K10" s="13" t="s">
        <v>10</v>
      </c>
      <c r="L10" s="12">
        <v>134</v>
      </c>
      <c r="M10" s="10"/>
      <c r="N10" s="10"/>
    </row>
    <row r="11" spans="1:14">
      <c r="A11" s="13" t="s">
        <v>8</v>
      </c>
      <c r="B11" s="14">
        <v>4420</v>
      </c>
      <c r="C11" s="10"/>
      <c r="D11" s="13" t="s">
        <v>226</v>
      </c>
      <c r="E11" s="12">
        <v>176.666666666666</v>
      </c>
      <c r="F11" s="10"/>
      <c r="G11" s="13" t="s">
        <v>4</v>
      </c>
      <c r="H11" s="12">
        <v>3292</v>
      </c>
      <c r="I11" s="12">
        <v>4717</v>
      </c>
      <c r="J11" s="10"/>
      <c r="K11" s="13" t="s">
        <v>17</v>
      </c>
      <c r="L11" s="12">
        <v>127</v>
      </c>
      <c r="M11" s="10"/>
      <c r="N11" s="10"/>
    </row>
    <row r="12" spans="1:14">
      <c r="A12" s="13" t="s">
        <v>9</v>
      </c>
      <c r="B12" s="14">
        <v>4414</v>
      </c>
      <c r="C12" s="10"/>
      <c r="D12" s="13" t="s">
        <v>251</v>
      </c>
      <c r="E12" s="12">
        <v>176.08695652173901</v>
      </c>
      <c r="F12" s="10"/>
      <c r="G12" s="13" t="s">
        <v>7</v>
      </c>
      <c r="H12" s="12">
        <v>3206</v>
      </c>
      <c r="I12" s="12">
        <v>4450</v>
      </c>
      <c r="J12" s="10"/>
      <c r="K12" s="13" t="s">
        <v>7</v>
      </c>
      <c r="L12" s="12">
        <v>118</v>
      </c>
      <c r="M12" s="10"/>
      <c r="N12" s="10"/>
    </row>
    <row r="13" spans="1:14">
      <c r="A13" s="13" t="s">
        <v>10</v>
      </c>
      <c r="B13" s="14">
        <v>4219</v>
      </c>
      <c r="C13" s="10"/>
      <c r="D13" s="13" t="s">
        <v>434</v>
      </c>
      <c r="E13" s="12">
        <v>175</v>
      </c>
      <c r="F13" s="10"/>
      <c r="G13" s="13" t="s">
        <v>11</v>
      </c>
      <c r="H13" s="12">
        <v>3133</v>
      </c>
      <c r="I13" s="12">
        <v>3834</v>
      </c>
      <c r="J13" s="10"/>
      <c r="K13" s="13" t="s">
        <v>11</v>
      </c>
      <c r="L13" s="12">
        <v>117</v>
      </c>
      <c r="M13" s="10"/>
      <c r="N13" s="10"/>
    </row>
    <row r="14" spans="1:14">
      <c r="A14" s="13" t="s">
        <v>522</v>
      </c>
      <c r="B14" s="14">
        <v>47060</v>
      </c>
      <c r="C14" s="10"/>
      <c r="D14" s="13" t="s">
        <v>522</v>
      </c>
      <c r="E14" s="12">
        <v>202.1181674700162</v>
      </c>
      <c r="F14" s="10"/>
      <c r="G14" s="13" t="s">
        <v>6</v>
      </c>
      <c r="H14" s="12">
        <v>2972</v>
      </c>
      <c r="I14" s="12">
        <v>4525</v>
      </c>
      <c r="J14" s="10"/>
      <c r="K14" s="13" t="s">
        <v>522</v>
      </c>
      <c r="L14" s="12">
        <v>1400</v>
      </c>
      <c r="M14" s="10"/>
      <c r="N14" s="10"/>
    </row>
    <row r="15" spans="1:14">
      <c r="A15" s="10"/>
      <c r="B15" s="10"/>
      <c r="C15" s="10"/>
      <c r="D15" s="10"/>
      <c r="E15" s="10"/>
      <c r="F15" s="10"/>
      <c r="G15" s="13" t="s">
        <v>522</v>
      </c>
      <c r="H15" s="12">
        <v>34818</v>
      </c>
      <c r="I15" s="12">
        <v>46480</v>
      </c>
      <c r="J15" s="10"/>
      <c r="K15" s="10"/>
      <c r="L15" s="10"/>
      <c r="M15" s="10"/>
      <c r="N15" s="10"/>
    </row>
    <row r="16" spans="1:1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>
      <c r="A17" s="10" t="s">
        <v>519</v>
      </c>
      <c r="B17" s="15" t="s">
        <v>525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>
      <c r="A18" s="13" t="s">
        <v>244</v>
      </c>
      <c r="B18" s="12">
        <v>88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>
      <c r="A19" s="13" t="s">
        <v>110</v>
      </c>
      <c r="B19" s="12">
        <v>57.375</v>
      </c>
      <c r="C19" s="10"/>
      <c r="D19" s="10"/>
      <c r="E19" s="10" t="s">
        <v>526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>
      <c r="A20" s="13" t="s">
        <v>181</v>
      </c>
      <c r="B20" s="12">
        <v>55.6666666666666</v>
      </c>
      <c r="C20" s="10"/>
      <c r="D20" s="10" t="s">
        <v>540</v>
      </c>
      <c r="E20" s="10" t="s">
        <v>536</v>
      </c>
      <c r="F20" s="10" t="s">
        <v>537</v>
      </c>
      <c r="G20" s="10"/>
      <c r="H20" s="10"/>
      <c r="I20" s="10"/>
      <c r="J20" s="10"/>
      <c r="K20" s="10"/>
      <c r="L20" s="10"/>
      <c r="M20" s="10"/>
      <c r="N20" s="10"/>
    </row>
    <row r="21" spans="1:14">
      <c r="A21" s="13" t="s">
        <v>160</v>
      </c>
      <c r="B21" s="12">
        <v>50.75</v>
      </c>
      <c r="C21" s="10"/>
      <c r="D21" s="13" t="s">
        <v>1</v>
      </c>
      <c r="E21" s="12">
        <v>5426</v>
      </c>
      <c r="F21" s="12">
        <v>152</v>
      </c>
      <c r="G21" s="10"/>
      <c r="H21" s="10"/>
      <c r="I21" s="10"/>
      <c r="J21" s="10"/>
      <c r="K21" s="10"/>
      <c r="L21" s="10"/>
      <c r="M21" s="10"/>
      <c r="N21" s="10"/>
    </row>
    <row r="22" spans="1:14">
      <c r="A22" s="13" t="s">
        <v>98</v>
      </c>
      <c r="B22" s="12">
        <v>44.384615384615302</v>
      </c>
      <c r="C22" s="10"/>
      <c r="D22" s="13" t="s">
        <v>2</v>
      </c>
      <c r="E22" s="12">
        <v>5386</v>
      </c>
      <c r="F22" s="12">
        <v>160</v>
      </c>
      <c r="G22" s="10"/>
      <c r="H22" s="10"/>
      <c r="I22" s="10"/>
      <c r="J22" s="10"/>
      <c r="K22" s="10"/>
      <c r="L22" s="10"/>
      <c r="M22" s="10"/>
      <c r="N22" s="10"/>
    </row>
    <row r="23" spans="1:14">
      <c r="A23" s="13" t="s">
        <v>522</v>
      </c>
      <c r="B23" s="12">
        <v>59.235256410256376</v>
      </c>
      <c r="C23" s="10"/>
      <c r="D23" s="13" t="s">
        <v>3</v>
      </c>
      <c r="E23" s="12">
        <v>4902</v>
      </c>
      <c r="F23" s="12">
        <v>161</v>
      </c>
      <c r="G23" s="10"/>
      <c r="H23" s="10"/>
      <c r="I23" s="10"/>
      <c r="J23" s="10"/>
      <c r="K23" s="10"/>
      <c r="L23" s="10"/>
      <c r="M23" s="10"/>
      <c r="N23" s="10"/>
    </row>
    <row r="24" spans="1:14">
      <c r="A24" s="10"/>
      <c r="B24" s="15"/>
      <c r="C24" s="10"/>
      <c r="D24" s="13" t="s">
        <v>4</v>
      </c>
      <c r="E24" s="12">
        <v>4717</v>
      </c>
      <c r="F24" s="12">
        <v>114</v>
      </c>
      <c r="G24" s="10"/>
      <c r="H24" s="10"/>
      <c r="I24" s="10"/>
      <c r="J24" s="10"/>
      <c r="K24" s="10"/>
      <c r="L24" s="10"/>
      <c r="M24" s="10"/>
      <c r="N24" s="10"/>
    </row>
    <row r="25" spans="1:14">
      <c r="A25" s="13"/>
      <c r="B25" s="12"/>
      <c r="C25" s="10"/>
      <c r="D25" s="13" t="s">
        <v>5</v>
      </c>
      <c r="E25" s="12">
        <v>4601</v>
      </c>
      <c r="F25" s="12">
        <v>137</v>
      </c>
      <c r="G25" s="10"/>
      <c r="H25" s="10"/>
      <c r="I25" s="10"/>
      <c r="J25" s="10"/>
      <c r="K25" s="10"/>
      <c r="L25" s="10"/>
      <c r="M25" s="10"/>
      <c r="N25" s="10"/>
    </row>
    <row r="26" spans="1:14">
      <c r="A26" s="13"/>
      <c r="B26" s="12"/>
      <c r="C26" s="10"/>
      <c r="D26" s="13" t="s">
        <v>6</v>
      </c>
      <c r="E26" s="12">
        <v>4525</v>
      </c>
      <c r="F26" s="12">
        <v>110</v>
      </c>
      <c r="G26" s="10"/>
      <c r="H26" s="10"/>
      <c r="I26" s="10"/>
      <c r="J26" s="10"/>
      <c r="K26" s="10"/>
      <c r="L26" s="10"/>
      <c r="M26" s="10"/>
      <c r="N26" s="10"/>
    </row>
    <row r="27" spans="1:14">
      <c r="A27" s="13"/>
      <c r="B27" s="12"/>
      <c r="C27" s="10"/>
      <c r="D27" s="13" t="s">
        <v>7</v>
      </c>
      <c r="E27" s="12">
        <v>4450</v>
      </c>
      <c r="F27" s="12">
        <v>118</v>
      </c>
      <c r="G27" s="10"/>
      <c r="H27" s="10"/>
      <c r="I27" s="10"/>
      <c r="J27" s="10"/>
      <c r="K27" s="10"/>
      <c r="L27" s="10"/>
      <c r="M27" s="10"/>
      <c r="N27" s="10"/>
    </row>
    <row r="28" spans="1:14">
      <c r="A28" s="13"/>
      <c r="B28" s="12"/>
      <c r="C28" s="10"/>
      <c r="D28" s="13" t="s">
        <v>8</v>
      </c>
      <c r="E28" s="12">
        <v>4420</v>
      </c>
      <c r="F28" s="12">
        <v>156</v>
      </c>
      <c r="G28" s="10"/>
      <c r="H28" s="10"/>
      <c r="I28" s="10"/>
      <c r="J28" s="10"/>
      <c r="K28" s="10"/>
      <c r="L28" s="10"/>
      <c r="M28" s="10"/>
      <c r="N28" s="10"/>
    </row>
    <row r="29" spans="1:14">
      <c r="A29" s="13"/>
      <c r="B29" s="12"/>
      <c r="C29" s="10"/>
      <c r="D29" s="13" t="s">
        <v>9</v>
      </c>
      <c r="E29" s="12">
        <v>4414</v>
      </c>
      <c r="F29" s="12">
        <v>104</v>
      </c>
      <c r="G29" s="10"/>
      <c r="H29" s="10"/>
      <c r="I29" s="10"/>
      <c r="J29" s="10"/>
      <c r="K29" s="10"/>
      <c r="L29" s="10"/>
      <c r="M29" s="10"/>
      <c r="N29" s="10"/>
    </row>
    <row r="30" spans="1:14">
      <c r="A30" s="13"/>
      <c r="B30" s="12"/>
      <c r="C30" s="10"/>
      <c r="D30" s="13" t="s">
        <v>10</v>
      </c>
      <c r="E30" s="12">
        <v>4219</v>
      </c>
      <c r="F30" s="12">
        <v>134</v>
      </c>
      <c r="G30" s="10"/>
      <c r="H30" s="10"/>
      <c r="I30" s="10"/>
      <c r="J30" s="10"/>
      <c r="K30" s="10"/>
      <c r="L30" s="10"/>
      <c r="M30" s="10"/>
      <c r="N30" s="10"/>
    </row>
    <row r="31" spans="1:14">
      <c r="A31" s="10"/>
      <c r="B31" s="10"/>
      <c r="C31" s="10"/>
      <c r="D31" s="13" t="s">
        <v>522</v>
      </c>
      <c r="E31" s="12">
        <v>47060</v>
      </c>
      <c r="F31" s="12">
        <v>1346</v>
      </c>
      <c r="G31" s="10"/>
      <c r="H31" s="10"/>
      <c r="I31" s="10"/>
      <c r="J31" s="10"/>
      <c r="K31" s="10"/>
      <c r="L31" s="10"/>
      <c r="M31" s="10"/>
      <c r="N31" s="10"/>
    </row>
    <row r="32" spans="1:1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43" spans="1:14">
      <c r="B43" s="2"/>
    </row>
    <row r="44" spans="1:14">
      <c r="A44" s="1"/>
      <c r="B44" s="2"/>
    </row>
    <row r="45" spans="1:14">
      <c r="A45" s="1"/>
      <c r="B45" s="2"/>
    </row>
    <row r="46" spans="1:14">
      <c r="A46" s="1"/>
      <c r="B46" s="2"/>
    </row>
    <row r="47" spans="1:14">
      <c r="A47" s="1"/>
      <c r="B47" s="2"/>
    </row>
    <row r="48" spans="1:14">
      <c r="A48" s="1"/>
      <c r="B48" s="2"/>
    </row>
    <row r="49" spans="1:2">
      <c r="A49" s="1"/>
      <c r="B49" s="2"/>
    </row>
    <row r="50" spans="1:2">
      <c r="A50" s="1"/>
      <c r="B50" s="2"/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68" spans="1:3">
      <c r="A68" s="1"/>
      <c r="B68" s="2"/>
      <c r="C68" s="2"/>
    </row>
    <row r="69" spans="1:3">
      <c r="A69" s="1"/>
      <c r="B69" s="2"/>
      <c r="C69" s="2"/>
    </row>
    <row r="70" spans="1:3">
      <c r="A70" s="1"/>
      <c r="B70" s="2"/>
      <c r="C70" s="2"/>
    </row>
    <row r="71" spans="1:3">
      <c r="A71" s="1"/>
      <c r="B71" s="2"/>
      <c r="C71" s="2"/>
    </row>
    <row r="72" spans="1:3">
      <c r="A72" s="1"/>
      <c r="B72" s="2"/>
      <c r="C72" s="2"/>
    </row>
    <row r="73" spans="1:3">
      <c r="A73" s="1"/>
      <c r="B73" s="2"/>
      <c r="C73" s="2"/>
    </row>
    <row r="74" spans="1:3">
      <c r="A74" s="1"/>
      <c r="B74" s="2"/>
      <c r="C74" s="2"/>
    </row>
    <row r="75" spans="1:3">
      <c r="A75" s="1"/>
      <c r="B75" s="2"/>
      <c r="C75" s="2"/>
    </row>
    <row r="76" spans="1:3">
      <c r="A76" s="1"/>
      <c r="B76" s="2"/>
      <c r="C76" s="2"/>
    </row>
    <row r="77" spans="1:3">
      <c r="A77" s="1"/>
      <c r="B77" s="2"/>
      <c r="C77" s="2"/>
    </row>
    <row r="78" spans="1:3">
      <c r="A78" s="1"/>
      <c r="B78" s="2"/>
      <c r="C78" s="2"/>
    </row>
    <row r="90" spans="1:2"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3">
      <c r="A97" s="1"/>
      <c r="B97" s="2"/>
    </row>
    <row r="98" spans="1:3">
      <c r="A98" s="1"/>
      <c r="B98" s="2"/>
    </row>
    <row r="99" spans="1:3">
      <c r="A99" s="1"/>
      <c r="B99" s="2"/>
    </row>
    <row r="100" spans="1:3">
      <c r="A100" s="1"/>
      <c r="B100" s="2"/>
    </row>
    <row r="101" spans="1:3">
      <c r="A101" s="1"/>
      <c r="B101" s="2"/>
    </row>
    <row r="109" spans="1:3">
      <c r="A109" s="1"/>
      <c r="B109" s="2"/>
      <c r="C109" s="2"/>
    </row>
    <row r="110" spans="1:3">
      <c r="A110" s="1"/>
      <c r="B110" s="2"/>
      <c r="C110" s="2"/>
    </row>
    <row r="111" spans="1:3">
      <c r="A111" s="1"/>
      <c r="B111" s="2"/>
      <c r="C111" s="2"/>
    </row>
    <row r="112" spans="1:3">
      <c r="A112" s="1"/>
      <c r="B112" s="2"/>
      <c r="C112" s="2"/>
    </row>
    <row r="113" spans="1:3">
      <c r="A113" s="1"/>
      <c r="B113" s="2"/>
      <c r="C113" s="2"/>
    </row>
    <row r="114" spans="1:3">
      <c r="A114" s="1"/>
      <c r="B114" s="2"/>
      <c r="C114" s="2"/>
    </row>
    <row r="115" spans="1:3">
      <c r="A115" s="1"/>
      <c r="B115" s="2"/>
      <c r="C115" s="2"/>
    </row>
    <row r="116" spans="1:3">
      <c r="A116" s="1"/>
      <c r="B116" s="2"/>
      <c r="C116" s="2"/>
    </row>
    <row r="117" spans="1:3">
      <c r="A117" s="1"/>
      <c r="B117" s="2"/>
      <c r="C117" s="2"/>
    </row>
    <row r="118" spans="1:3">
      <c r="A118" s="1"/>
      <c r="B118" s="2"/>
      <c r="C118" s="2"/>
    </row>
    <row r="119" spans="1:3">
      <c r="A119" s="1"/>
      <c r="B119" s="2"/>
      <c r="C119" s="2"/>
    </row>
  </sheetData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8"/>
  <sheetViews>
    <sheetView topLeftCell="A5" workbookViewId="0">
      <selection activeCell="P5" sqref="P5"/>
    </sheetView>
  </sheetViews>
  <sheetFormatPr defaultRowHeight="15"/>
  <cols>
    <col min="1" max="1" width="26.140625" customWidth="1"/>
    <col min="2" max="2" width="11.28515625" customWidth="1"/>
    <col min="3" max="3" width="23.140625" customWidth="1"/>
    <col min="4" max="4" width="13.85546875" customWidth="1"/>
    <col min="5" max="5" width="9.85546875" customWidth="1"/>
    <col min="6" max="6" width="0.140625" customWidth="1"/>
    <col min="7" max="7" width="40.7109375" customWidth="1"/>
  </cols>
  <sheetData>
    <row r="1" spans="1:17" ht="37.5" customHeight="1">
      <c r="A1" s="3"/>
      <c r="B1" s="3"/>
      <c r="C1" s="3"/>
      <c r="D1" s="3"/>
      <c r="E1" s="3"/>
      <c r="F1" s="3"/>
      <c r="G1" s="8" t="s">
        <v>532</v>
      </c>
      <c r="H1" s="4"/>
      <c r="I1" s="3"/>
      <c r="J1" s="3"/>
      <c r="K1" s="3"/>
      <c r="L1" s="3"/>
      <c r="M1" s="3"/>
      <c r="N1" s="3"/>
      <c r="O1" s="3"/>
      <c r="P1" s="3"/>
      <c r="Q1" s="3"/>
    </row>
    <row r="2" spans="1:17" ht="31.5" customHeight="1">
      <c r="A2" s="3"/>
      <c r="B2" s="3"/>
      <c r="C2" s="3"/>
      <c r="D2" s="3"/>
      <c r="E2" s="3"/>
      <c r="F2" s="3"/>
      <c r="G2" s="9" t="s">
        <v>534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8.75">
      <c r="A3" s="5" t="s">
        <v>533</v>
      </c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.75">
      <c r="A4" s="5" t="s">
        <v>529</v>
      </c>
      <c r="B4" s="5" t="s">
        <v>530</v>
      </c>
      <c r="C4" s="5" t="s">
        <v>531</v>
      </c>
      <c r="D4" s="5" t="s">
        <v>537</v>
      </c>
      <c r="E4" s="5" t="s">
        <v>539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8.75">
      <c r="A5" s="6">
        <v>173193</v>
      </c>
      <c r="B5" s="7">
        <v>16.355074439058846</v>
      </c>
      <c r="C5" s="7">
        <v>105.43344207162164</v>
      </c>
      <c r="D5" s="6">
        <v>8805</v>
      </c>
      <c r="E5" s="6">
        <v>222203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4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Formula_Analysis</vt:lpstr>
      <vt:lpstr>Pivot_TABLE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cp:lastPrinted>2026-06-23T04:53:15Z</cp:lastPrinted>
  <dcterms:created xsi:type="dcterms:W3CDTF">2026-06-23T05:02:04Z</dcterms:created>
  <dcterms:modified xsi:type="dcterms:W3CDTF">2026-06-30T10:56:33Z</dcterms:modified>
</cp:coreProperties>
</file>